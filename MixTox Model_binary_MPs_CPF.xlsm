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2.xml" ContentType="application/vnd.openxmlformats-officedocument.drawingml.chartshape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3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4.xml" ContentType="application/vnd.openxmlformats-officedocument.drawingml.chartshapes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drawings/drawing6.xml" ContentType="application/vnd.openxmlformats-officedocument.drawingml.chartshapes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drawings/drawing8.xml" ContentType="application/vnd.openxmlformats-officedocument.drawingml.chartshapes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ln243\surfdrive\Documents\Mixtox experiment\"/>
    </mc:Choice>
  </mc:AlternateContent>
  <xr:revisionPtr revIDLastSave="0" documentId="13_ncr:1_{C40B1AC0-A584-401B-A9FC-A9CBA655DE89}" xr6:coauthVersionLast="47" xr6:coauthVersionMax="47" xr10:uidLastSave="{00000000-0000-0000-0000-000000000000}"/>
  <bookViews>
    <workbookView xWindow="-103" yWindow="-103" windowWidth="21600" windowHeight="13869" tabRatio="946" activeTab="2" xr2:uid="{00000000-000D-0000-FFFF-FFFF00000000}"/>
  </bookViews>
  <sheets>
    <sheet name="CA - continous data model (new)" sheetId="10" r:id="rId1"/>
    <sheet name="IA - continous data model (new)" sheetId="20" r:id="rId2"/>
    <sheet name="CA - binary data model (new)" sheetId="13" r:id="rId3"/>
    <sheet name="IA - binary data model (new)" sheetId="15" r:id="rId4"/>
  </sheets>
  <functionGroups builtInGroupCount="19"/>
  <definedNames>
    <definedName name="solver_adj" localSheetId="2" hidden="1">'CA - binary data model (new)'!$P$2:$P$8</definedName>
    <definedName name="solver_adj" localSheetId="0" hidden="1">'CA - continous data model (new)'!$O$2:$O$8</definedName>
    <definedName name="solver_adj" localSheetId="3" hidden="1">'IA - binary data model (new)'!$P$2:$P$8</definedName>
    <definedName name="solver_adj" localSheetId="1" hidden="1">'IA - continous data model (new)'!$O$2:$O$8</definedName>
    <definedName name="solver_cvg" localSheetId="2" hidden="1">0.0001</definedName>
    <definedName name="solver_cvg" localSheetId="0" hidden="1">0.0001</definedName>
    <definedName name="solver_cvg" localSheetId="3" hidden="1">0.0001</definedName>
    <definedName name="solver_cvg" localSheetId="1" hidden="1">0.0001</definedName>
    <definedName name="solver_drv" localSheetId="2" hidden="1">1</definedName>
    <definedName name="solver_drv" localSheetId="0" hidden="1">1</definedName>
    <definedName name="solver_drv" localSheetId="3" hidden="1">1</definedName>
    <definedName name="solver_drv" localSheetId="1" hidden="1">1</definedName>
    <definedName name="solver_eng" localSheetId="2" hidden="1">1</definedName>
    <definedName name="solver_eng" localSheetId="0" hidden="1">1</definedName>
    <definedName name="solver_eng" localSheetId="1" hidden="1">1</definedName>
    <definedName name="solver_est" localSheetId="2" hidden="1">1</definedName>
    <definedName name="solver_est" localSheetId="0" hidden="1">1</definedName>
    <definedName name="solver_est" localSheetId="3" hidden="1">1</definedName>
    <definedName name="solver_est" localSheetId="1" hidden="1">1</definedName>
    <definedName name="solver_itr" localSheetId="2" hidden="1">1000</definedName>
    <definedName name="solver_itr" localSheetId="0" hidden="1">1000</definedName>
    <definedName name="solver_itr" localSheetId="3" hidden="1">1000</definedName>
    <definedName name="solver_itr" localSheetId="1" hidden="1">1000</definedName>
    <definedName name="solver_lhs1" localSheetId="2" hidden="1">'CA - binary data model (new)'!$P$2</definedName>
    <definedName name="solver_lhs1" localSheetId="0" hidden="1">'CA - continous data model (new)'!$O$6</definedName>
    <definedName name="solver_lhs1" localSheetId="3" hidden="1">'IA - binary data model (new)'!$P$2</definedName>
    <definedName name="solver_lhs1" localSheetId="1" hidden="1">'IA - continous data model (new)'!$O$6</definedName>
    <definedName name="solver_lhs2" localSheetId="2" hidden="1">'CA - binary data model (new)'!$P$5</definedName>
    <definedName name="solver_lin" localSheetId="2" hidden="1">2</definedName>
    <definedName name="solver_lin" localSheetId="0" hidden="1">2</definedName>
    <definedName name="solver_lin" localSheetId="3" hidden="1">2</definedName>
    <definedName name="solver_lin" localSheetId="1" hidden="1">2</definedName>
    <definedName name="solver_mip" localSheetId="2" hidden="1">2147483647</definedName>
    <definedName name="solver_mip" localSheetId="0" hidden="1">2147483647</definedName>
    <definedName name="solver_mip" localSheetId="1" hidden="1">2147483647</definedName>
    <definedName name="solver_mni" localSheetId="2" hidden="1">30</definedName>
    <definedName name="solver_mni" localSheetId="0" hidden="1">30</definedName>
    <definedName name="solver_mni" localSheetId="1" hidden="1">30</definedName>
    <definedName name="solver_mrt" localSheetId="2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0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1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2" hidden="1">2</definedName>
    <definedName name="solver_msl" localSheetId="0" hidden="1">2</definedName>
    <definedName name="solver_msl" localSheetId="1" hidden="1">2</definedName>
    <definedName name="solver_neg" localSheetId="2" hidden="1">2</definedName>
    <definedName name="solver_neg" localSheetId="0" hidden="1">2</definedName>
    <definedName name="solver_neg" localSheetId="3" hidden="1">2</definedName>
    <definedName name="solver_neg" localSheetId="1" hidden="1">2</definedName>
    <definedName name="solver_nod" localSheetId="2" hidden="1">2147483647</definedName>
    <definedName name="solver_nod" localSheetId="0" hidden="1">2147483647</definedName>
    <definedName name="solver_nod" localSheetId="1" hidden="1">2147483647</definedName>
    <definedName name="solver_num" localSheetId="2" hidden="1">2</definedName>
    <definedName name="solver_num" localSheetId="0" hidden="1">1</definedName>
    <definedName name="solver_num" localSheetId="3" hidden="1">1</definedName>
    <definedName name="solver_num" localSheetId="1" hidden="1">1</definedName>
    <definedName name="solver_nwt" localSheetId="2" hidden="1">1</definedName>
    <definedName name="solver_nwt" localSheetId="0" hidden="1">1</definedName>
    <definedName name="solver_nwt" localSheetId="3" hidden="1">1</definedName>
    <definedName name="solver_nwt" localSheetId="1" hidden="1">1</definedName>
    <definedName name="solver_opt" localSheetId="2" hidden="1">'CA - binary data model (new)'!$P$12</definedName>
    <definedName name="solver_opt" localSheetId="0" hidden="1">'CA - continous data model (new)'!$O$12</definedName>
    <definedName name="solver_opt" localSheetId="3" hidden="1">'IA - binary data model (new)'!$P$12</definedName>
    <definedName name="solver_opt" localSheetId="1" hidden="1">'IA - continous data model (new)'!$O$12</definedName>
    <definedName name="solver_pre" localSheetId="2" hidden="1">0.000001</definedName>
    <definedName name="solver_pre" localSheetId="0" hidden="1">0.000001</definedName>
    <definedName name="solver_pre" localSheetId="3" hidden="1">0.000001</definedName>
    <definedName name="solver_pre" localSheetId="1" hidden="1">0.000001</definedName>
    <definedName name="solver_rbv" localSheetId="2" hidden="1">1</definedName>
    <definedName name="solver_rbv" localSheetId="0" hidden="1">1</definedName>
    <definedName name="solver_rbv" localSheetId="1" hidden="1">1</definedName>
    <definedName name="solver_rel1" localSheetId="2" hidden="1">1</definedName>
    <definedName name="solver_rel1" localSheetId="0" hidden="1">1</definedName>
    <definedName name="solver_rel1" localSheetId="3" hidden="1">1</definedName>
    <definedName name="solver_rel1" localSheetId="1" hidden="1">1</definedName>
    <definedName name="solver_rel2" localSheetId="2" hidden="1">1</definedName>
    <definedName name="solver_rhs1" localSheetId="2" hidden="1">0.98</definedName>
    <definedName name="solver_rhs1" localSheetId="0" hidden="1">100</definedName>
    <definedName name="solver_rhs1" localSheetId="3" hidden="1">0.98</definedName>
    <definedName name="solver_rhs1" localSheetId="1" hidden="1">100</definedName>
    <definedName name="solver_rhs2" localSheetId="2" hidden="1">100</definedName>
    <definedName name="solver_rlx" localSheetId="2" hidden="1">1</definedName>
    <definedName name="solver_rlx" localSheetId="0" hidden="1">1</definedName>
    <definedName name="solver_rlx" localSheetId="1" hidden="1">1</definedName>
    <definedName name="solver_rsd" localSheetId="2" hidden="1">0</definedName>
    <definedName name="solver_rsd" localSheetId="0" hidden="1">0</definedName>
    <definedName name="solver_rsd" localSheetId="1" hidden="1">0</definedName>
    <definedName name="solver_scl" localSheetId="2" hidden="1">2</definedName>
    <definedName name="solver_scl" localSheetId="0" hidden="1">2</definedName>
    <definedName name="solver_scl" localSheetId="3" hidden="1">2</definedName>
    <definedName name="solver_scl" localSheetId="1" hidden="1">2</definedName>
    <definedName name="solver_sho" localSheetId="2" hidden="1">2</definedName>
    <definedName name="solver_sho" localSheetId="0" hidden="1">2</definedName>
    <definedName name="solver_sho" localSheetId="3" hidden="1">2</definedName>
    <definedName name="solver_sho" localSheetId="1" hidden="1">2</definedName>
    <definedName name="solver_ssz" localSheetId="2" hidden="1">100</definedName>
    <definedName name="solver_ssz" localSheetId="0" hidden="1">100</definedName>
    <definedName name="solver_ssz" localSheetId="1" hidden="1">100</definedName>
    <definedName name="solver_tim" localSheetId="2" hidden="1">100</definedName>
    <definedName name="solver_tim" localSheetId="0" hidden="1">100</definedName>
    <definedName name="solver_tim" localSheetId="3" hidden="1">100</definedName>
    <definedName name="solver_tim" localSheetId="1" hidden="1">100</definedName>
    <definedName name="solver_tol" localSheetId="2" hidden="1">5</definedName>
    <definedName name="solver_tol" localSheetId="0" hidden="1">5</definedName>
    <definedName name="solver_tol" localSheetId="3" hidden="1">0.05</definedName>
    <definedName name="solver_tol" localSheetId="1" hidden="1">5</definedName>
    <definedName name="solver_typ" localSheetId="2" hidden="1">2</definedName>
    <definedName name="solver_typ" localSheetId="0" hidden="1">2</definedName>
    <definedName name="solver_typ" localSheetId="3" hidden="1">2</definedName>
    <definedName name="solver_typ" localSheetId="1" hidden="1">2</definedName>
    <definedName name="solver_val" localSheetId="2" hidden="1">0</definedName>
    <definedName name="solver_val" localSheetId="0" hidden="1">0</definedName>
    <definedName name="solver_val" localSheetId="3" hidden="1">0</definedName>
    <definedName name="solver_val" localSheetId="1" hidden="1">0</definedName>
    <definedName name="solver_ver" localSheetId="2" hidden="1">3</definedName>
    <definedName name="solver_ver" localSheetId="0" hidden="1">3</definedName>
    <definedName name="solver_ver" localSheetId="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6" i="20" l="1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E25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90" i="13"/>
  <c r="E136" i="20"/>
  <c r="O137" i="20"/>
  <c r="L139" i="20"/>
  <c r="I141" i="20"/>
  <c r="E144" i="20"/>
  <c r="O145" i="20"/>
  <c r="L147" i="20"/>
  <c r="I149" i="20"/>
  <c r="E152" i="20"/>
  <c r="O153" i="20"/>
  <c r="L155" i="20"/>
  <c r="I157" i="20"/>
  <c r="E160" i="20"/>
  <c r="O161" i="20"/>
  <c r="L163" i="20"/>
  <c r="I165" i="20"/>
  <c r="E168" i="20"/>
  <c r="O169" i="20"/>
  <c r="L171" i="20"/>
  <c r="I173" i="20"/>
  <c r="E176" i="20"/>
  <c r="O177" i="20"/>
  <c r="L179" i="20"/>
  <c r="I181" i="20"/>
  <c r="E184" i="20"/>
  <c r="O185" i="20"/>
  <c r="L187" i="20"/>
  <c r="I189" i="20"/>
  <c r="E192" i="20"/>
  <c r="O193" i="20"/>
  <c r="L195" i="20"/>
  <c r="I197" i="20"/>
  <c r="E200" i="20"/>
  <c r="O201" i="20"/>
  <c r="L203" i="20"/>
  <c r="I205" i="20"/>
  <c r="E208" i="20"/>
  <c r="O209" i="20"/>
  <c r="E142" i="20"/>
  <c r="E150" i="20"/>
  <c r="I155" i="20"/>
  <c r="O167" i="20"/>
  <c r="O191" i="20"/>
  <c r="L201" i="20"/>
  <c r="L209" i="20"/>
  <c r="L138" i="20"/>
  <c r="E159" i="20"/>
  <c r="L170" i="20"/>
  <c r="I180" i="20"/>
  <c r="I188" i="20"/>
  <c r="E137" i="20"/>
  <c r="O138" i="20"/>
  <c r="L140" i="20"/>
  <c r="I142" i="20"/>
  <c r="E145" i="20"/>
  <c r="O146" i="20"/>
  <c r="L148" i="20"/>
  <c r="I150" i="20"/>
  <c r="E153" i="20"/>
  <c r="O154" i="20"/>
  <c r="L156" i="20"/>
  <c r="I158" i="20"/>
  <c r="E161" i="20"/>
  <c r="O162" i="20"/>
  <c r="L164" i="20"/>
  <c r="I166" i="20"/>
  <c r="E169" i="20"/>
  <c r="O170" i="20"/>
  <c r="L172" i="20"/>
  <c r="I174" i="20"/>
  <c r="E177" i="20"/>
  <c r="O178" i="20"/>
  <c r="L180" i="20"/>
  <c r="I182" i="20"/>
  <c r="E185" i="20"/>
  <c r="O186" i="20"/>
  <c r="L188" i="20"/>
  <c r="I190" i="20"/>
  <c r="E193" i="20"/>
  <c r="O194" i="20"/>
  <c r="L196" i="20"/>
  <c r="I198" i="20"/>
  <c r="E201" i="20"/>
  <c r="O202" i="20"/>
  <c r="L204" i="20"/>
  <c r="I206" i="20"/>
  <c r="E209" i="20"/>
  <c r="I147" i="20"/>
  <c r="L153" i="20"/>
  <c r="O159" i="20"/>
  <c r="O175" i="20"/>
  <c r="E182" i="20"/>
  <c r="E190" i="20"/>
  <c r="O136" i="20"/>
  <c r="E151" i="20"/>
  <c r="O160" i="20"/>
  <c r="E167" i="20"/>
  <c r="E183" i="20"/>
  <c r="L186" i="20"/>
  <c r="L194" i="20"/>
  <c r="L202" i="20"/>
  <c r="E138" i="20"/>
  <c r="O139" i="20"/>
  <c r="L141" i="20"/>
  <c r="I143" i="20"/>
  <c r="E146" i="20"/>
  <c r="O147" i="20"/>
  <c r="L149" i="20"/>
  <c r="I151" i="20"/>
  <c r="E154" i="20"/>
  <c r="O155" i="20"/>
  <c r="L157" i="20"/>
  <c r="I159" i="20"/>
  <c r="E162" i="20"/>
  <c r="O163" i="20"/>
  <c r="L165" i="20"/>
  <c r="I167" i="20"/>
  <c r="E170" i="20"/>
  <c r="O171" i="20"/>
  <c r="L173" i="20"/>
  <c r="I175" i="20"/>
  <c r="E178" i="20"/>
  <c r="O179" i="20"/>
  <c r="L181" i="20"/>
  <c r="I183" i="20"/>
  <c r="E186" i="20"/>
  <c r="O187" i="20"/>
  <c r="L189" i="20"/>
  <c r="I191" i="20"/>
  <c r="E194" i="20"/>
  <c r="O195" i="20"/>
  <c r="L197" i="20"/>
  <c r="I199" i="20"/>
  <c r="E202" i="20"/>
  <c r="O203" i="20"/>
  <c r="L205" i="20"/>
  <c r="I207" i="20"/>
  <c r="I139" i="20"/>
  <c r="I163" i="20"/>
  <c r="O183" i="20"/>
  <c r="L193" i="20"/>
  <c r="I148" i="20"/>
  <c r="I156" i="20"/>
  <c r="O176" i="20"/>
  <c r="I196" i="20"/>
  <c r="I136" i="20"/>
  <c r="E139" i="20"/>
  <c r="O140" i="20"/>
  <c r="L142" i="20"/>
  <c r="I144" i="20"/>
  <c r="E147" i="20"/>
  <c r="O148" i="20"/>
  <c r="L150" i="20"/>
  <c r="I152" i="20"/>
  <c r="E155" i="20"/>
  <c r="O156" i="20"/>
  <c r="L158" i="20"/>
  <c r="I160" i="20"/>
  <c r="E163" i="20"/>
  <c r="O164" i="20"/>
  <c r="L166" i="20"/>
  <c r="I168" i="20"/>
  <c r="E171" i="20"/>
  <c r="O172" i="20"/>
  <c r="L174" i="20"/>
  <c r="I176" i="20"/>
  <c r="E179" i="20"/>
  <c r="O180" i="20"/>
  <c r="L182" i="20"/>
  <c r="I184" i="20"/>
  <c r="E187" i="20"/>
  <c r="O188" i="20"/>
  <c r="L190" i="20"/>
  <c r="I192" i="20"/>
  <c r="E195" i="20"/>
  <c r="O196" i="20"/>
  <c r="L198" i="20"/>
  <c r="I200" i="20"/>
  <c r="E203" i="20"/>
  <c r="O204" i="20"/>
  <c r="L206" i="20"/>
  <c r="I208" i="20"/>
  <c r="L137" i="20"/>
  <c r="L161" i="20"/>
  <c r="E174" i="20"/>
  <c r="I179" i="20"/>
  <c r="L185" i="20"/>
  <c r="O199" i="20"/>
  <c r="O207" i="20"/>
  <c r="I140" i="20"/>
  <c r="L154" i="20"/>
  <c r="I164" i="20"/>
  <c r="E175" i="20"/>
  <c r="O184" i="20"/>
  <c r="E191" i="20"/>
  <c r="O200" i="20"/>
  <c r="E207" i="20"/>
  <c r="I137" i="20"/>
  <c r="E140" i="20"/>
  <c r="O141" i="20"/>
  <c r="L143" i="20"/>
  <c r="I145" i="20"/>
  <c r="E148" i="20"/>
  <c r="O149" i="20"/>
  <c r="L151" i="20"/>
  <c r="I153" i="20"/>
  <c r="E156" i="20"/>
  <c r="O157" i="20"/>
  <c r="L159" i="20"/>
  <c r="I161" i="20"/>
  <c r="E164" i="20"/>
  <c r="O165" i="20"/>
  <c r="L167" i="20"/>
  <c r="I169" i="20"/>
  <c r="E172" i="20"/>
  <c r="O173" i="20"/>
  <c r="L175" i="20"/>
  <c r="I177" i="20"/>
  <c r="E180" i="20"/>
  <c r="O181" i="20"/>
  <c r="L183" i="20"/>
  <c r="I185" i="20"/>
  <c r="E188" i="20"/>
  <c r="O189" i="20"/>
  <c r="L191" i="20"/>
  <c r="I193" i="20"/>
  <c r="E196" i="20"/>
  <c r="O197" i="20"/>
  <c r="L199" i="20"/>
  <c r="I201" i="20"/>
  <c r="E204" i="20"/>
  <c r="O205" i="20"/>
  <c r="L207" i="20"/>
  <c r="I209" i="20"/>
  <c r="O143" i="20"/>
  <c r="O151" i="20"/>
  <c r="E158" i="20"/>
  <c r="L169" i="20"/>
  <c r="E198" i="20"/>
  <c r="E206" i="20"/>
  <c r="O144" i="20"/>
  <c r="L162" i="20"/>
  <c r="O168" i="20"/>
  <c r="L178" i="20"/>
  <c r="O192" i="20"/>
  <c r="O208" i="20"/>
  <c r="L136" i="20"/>
  <c r="I138" i="20"/>
  <c r="E141" i="20"/>
  <c r="O142" i="20"/>
  <c r="L144" i="20"/>
  <c r="I146" i="20"/>
  <c r="E149" i="20"/>
  <c r="O150" i="20"/>
  <c r="L152" i="20"/>
  <c r="I154" i="20"/>
  <c r="E157" i="20"/>
  <c r="O158" i="20"/>
  <c r="L160" i="20"/>
  <c r="I162" i="20"/>
  <c r="E165" i="20"/>
  <c r="O166" i="20"/>
  <c r="L168" i="20"/>
  <c r="I170" i="20"/>
  <c r="E173" i="20"/>
  <c r="O174" i="20"/>
  <c r="L176" i="20"/>
  <c r="I178" i="20"/>
  <c r="E181" i="20"/>
  <c r="O182" i="20"/>
  <c r="L184" i="20"/>
  <c r="I186" i="20"/>
  <c r="E189" i="20"/>
  <c r="O190" i="20"/>
  <c r="L192" i="20"/>
  <c r="I194" i="20"/>
  <c r="E197" i="20"/>
  <c r="O198" i="20"/>
  <c r="L200" i="20"/>
  <c r="I202" i="20"/>
  <c r="E205" i="20"/>
  <c r="O206" i="20"/>
  <c r="L208" i="20"/>
  <c r="L145" i="20"/>
  <c r="E166" i="20"/>
  <c r="I171" i="20"/>
  <c r="L177" i="20"/>
  <c r="I187" i="20"/>
  <c r="I195" i="20"/>
  <c r="I203" i="20"/>
  <c r="E143" i="20"/>
  <c r="L146" i="20"/>
  <c r="O152" i="20"/>
  <c r="I172" i="20"/>
  <c r="E199" i="20"/>
  <c r="I204" i="20"/>
  <c r="E91" i="20"/>
  <c r="O92" i="20"/>
  <c r="L94" i="20"/>
  <c r="I96" i="20"/>
  <c r="E99" i="20"/>
  <c r="O100" i="20"/>
  <c r="L102" i="20"/>
  <c r="I104" i="20"/>
  <c r="E107" i="20"/>
  <c r="O108" i="20"/>
  <c r="L110" i="20"/>
  <c r="I112" i="20"/>
  <c r="O99" i="20"/>
  <c r="E114" i="20"/>
  <c r="E92" i="20"/>
  <c r="O93" i="20"/>
  <c r="L95" i="20"/>
  <c r="I97" i="20"/>
  <c r="E100" i="20"/>
  <c r="O101" i="20"/>
  <c r="L103" i="20"/>
  <c r="I105" i="20"/>
  <c r="E108" i="20"/>
  <c r="O109" i="20"/>
  <c r="L111" i="20"/>
  <c r="I113" i="20"/>
  <c r="E98" i="20"/>
  <c r="L101" i="20"/>
  <c r="E93" i="20"/>
  <c r="O94" i="20"/>
  <c r="L96" i="20"/>
  <c r="I98" i="20"/>
  <c r="E101" i="20"/>
  <c r="O102" i="20"/>
  <c r="L104" i="20"/>
  <c r="I106" i="20"/>
  <c r="E109" i="20"/>
  <c r="O110" i="20"/>
  <c r="L112" i="20"/>
  <c r="I114" i="20"/>
  <c r="O107" i="20"/>
  <c r="I91" i="20"/>
  <c r="E94" i="20"/>
  <c r="O95" i="20"/>
  <c r="L97" i="20"/>
  <c r="I99" i="20"/>
  <c r="E102" i="20"/>
  <c r="O103" i="20"/>
  <c r="L105" i="20"/>
  <c r="I107" i="20"/>
  <c r="E110" i="20"/>
  <c r="O111" i="20"/>
  <c r="L113" i="20"/>
  <c r="L93" i="20"/>
  <c r="I103" i="20"/>
  <c r="I111" i="20"/>
  <c r="I92" i="20"/>
  <c r="E95" i="20"/>
  <c r="O96" i="20"/>
  <c r="L98" i="20"/>
  <c r="I100" i="20"/>
  <c r="E103" i="20"/>
  <c r="O104" i="20"/>
  <c r="L106" i="20"/>
  <c r="I108" i="20"/>
  <c r="E111" i="20"/>
  <c r="O112" i="20"/>
  <c r="L114" i="20"/>
  <c r="I95" i="20"/>
  <c r="E106" i="20"/>
  <c r="L91" i="20"/>
  <c r="I93" i="20"/>
  <c r="E96" i="20"/>
  <c r="O97" i="20"/>
  <c r="L99" i="20"/>
  <c r="I101" i="20"/>
  <c r="E104" i="20"/>
  <c r="O105" i="20"/>
  <c r="L107" i="20"/>
  <c r="I109" i="20"/>
  <c r="E112" i="20"/>
  <c r="O113" i="20"/>
  <c r="L92" i="20"/>
  <c r="I94" i="20"/>
  <c r="E97" i="20"/>
  <c r="O98" i="20"/>
  <c r="L100" i="20"/>
  <c r="I102" i="20"/>
  <c r="E105" i="20"/>
  <c r="O106" i="20"/>
  <c r="L108" i="20"/>
  <c r="I110" i="20"/>
  <c r="E113" i="20"/>
  <c r="O114" i="20"/>
  <c r="O91" i="20"/>
  <c r="L109" i="20"/>
  <c r="E46" i="20"/>
  <c r="O47" i="20"/>
  <c r="L49" i="20"/>
  <c r="I51" i="20"/>
  <c r="E54" i="20"/>
  <c r="O55" i="20"/>
  <c r="L57" i="20"/>
  <c r="I59" i="20"/>
  <c r="E62" i="20"/>
  <c r="O63" i="20"/>
  <c r="L65" i="20"/>
  <c r="I67" i="20"/>
  <c r="I61" i="20"/>
  <c r="L67" i="20"/>
  <c r="I64" i="20"/>
  <c r="O53" i="20"/>
  <c r="O61" i="20"/>
  <c r="E68" i="20"/>
  <c r="L56" i="20"/>
  <c r="E47" i="20"/>
  <c r="O48" i="20"/>
  <c r="L50" i="20"/>
  <c r="I52" i="20"/>
  <c r="E55" i="20"/>
  <c r="O56" i="20"/>
  <c r="L58" i="20"/>
  <c r="I60" i="20"/>
  <c r="E63" i="20"/>
  <c r="O64" i="20"/>
  <c r="L66" i="20"/>
  <c r="I68" i="20"/>
  <c r="O65" i="20"/>
  <c r="I56" i="20"/>
  <c r="L62" i="20"/>
  <c r="E67" i="20"/>
  <c r="E52" i="20"/>
  <c r="I57" i="20"/>
  <c r="L63" i="20"/>
  <c r="O69" i="20"/>
  <c r="I50" i="20"/>
  <c r="L64" i="20"/>
  <c r="E48" i="20"/>
  <c r="O49" i="20"/>
  <c r="L51" i="20"/>
  <c r="I53" i="20"/>
  <c r="E56" i="20"/>
  <c r="O57" i="20"/>
  <c r="L59" i="20"/>
  <c r="E64" i="20"/>
  <c r="I69" i="20"/>
  <c r="O68" i="20"/>
  <c r="E60" i="20"/>
  <c r="I65" i="20"/>
  <c r="L48" i="20"/>
  <c r="O54" i="20"/>
  <c r="O62" i="20"/>
  <c r="E69" i="20"/>
  <c r="I46" i="20"/>
  <c r="E49" i="20"/>
  <c r="O50" i="20"/>
  <c r="L52" i="20"/>
  <c r="I54" i="20"/>
  <c r="E57" i="20"/>
  <c r="O58" i="20"/>
  <c r="L60" i="20"/>
  <c r="I62" i="20"/>
  <c r="E65" i="20"/>
  <c r="O66" i="20"/>
  <c r="L68" i="20"/>
  <c r="I48" i="20"/>
  <c r="O52" i="20"/>
  <c r="E59" i="20"/>
  <c r="I49" i="20"/>
  <c r="E53" i="20"/>
  <c r="I58" i="20"/>
  <c r="I66" i="20"/>
  <c r="I47" i="20"/>
  <c r="E50" i="20"/>
  <c r="O51" i="20"/>
  <c r="L53" i="20"/>
  <c r="I55" i="20"/>
  <c r="E58" i="20"/>
  <c r="O59" i="20"/>
  <c r="L61" i="20"/>
  <c r="I63" i="20"/>
  <c r="E66" i="20"/>
  <c r="O67" i="20"/>
  <c r="L69" i="20"/>
  <c r="L46" i="20"/>
  <c r="E51" i="20"/>
  <c r="L54" i="20"/>
  <c r="O60" i="20"/>
  <c r="L47" i="20"/>
  <c r="L55" i="20"/>
  <c r="O46" i="20"/>
  <c r="E61" i="20"/>
  <c r="E27" i="20"/>
  <c r="O28" i="20"/>
  <c r="L30" i="20"/>
  <c r="I32" i="20"/>
  <c r="E35" i="20"/>
  <c r="O36" i="20"/>
  <c r="L38" i="20"/>
  <c r="I40" i="20"/>
  <c r="E43" i="20"/>
  <c r="O44" i="20"/>
  <c r="I27" i="20"/>
  <c r="E30" i="20"/>
  <c r="L33" i="20"/>
  <c r="I35" i="20"/>
  <c r="E38" i="20"/>
  <c r="O39" i="20"/>
  <c r="L41" i="20"/>
  <c r="O41" i="20"/>
  <c r="I30" i="20"/>
  <c r="I38" i="20"/>
  <c r="E41" i="20"/>
  <c r="E26" i="20"/>
  <c r="L29" i="20"/>
  <c r="E34" i="20"/>
  <c r="E28" i="20"/>
  <c r="O29" i="20"/>
  <c r="L31" i="20"/>
  <c r="I33" i="20"/>
  <c r="E36" i="20"/>
  <c r="O37" i="20"/>
  <c r="L39" i="20"/>
  <c r="I41" i="20"/>
  <c r="E44" i="20"/>
  <c r="O26" i="20"/>
  <c r="O34" i="20"/>
  <c r="I26" i="20"/>
  <c r="E29" i="20"/>
  <c r="O30" i="20"/>
  <c r="L32" i="20"/>
  <c r="I34" i="20"/>
  <c r="E37" i="20"/>
  <c r="O38" i="20"/>
  <c r="L40" i="20"/>
  <c r="I42" i="20"/>
  <c r="O31" i="20"/>
  <c r="I43" i="20"/>
  <c r="E40" i="20"/>
  <c r="L44" i="20"/>
  <c r="I39" i="20"/>
  <c r="O43" i="20"/>
  <c r="L26" i="20"/>
  <c r="I28" i="20"/>
  <c r="E31" i="20"/>
  <c r="O32" i="20"/>
  <c r="L34" i="20"/>
  <c r="I36" i="20"/>
  <c r="E39" i="20"/>
  <c r="O40" i="20"/>
  <c r="L42" i="20"/>
  <c r="I44" i="20"/>
  <c r="L27" i="20"/>
  <c r="I29" i="20"/>
  <c r="E32" i="20"/>
  <c r="O33" i="20"/>
  <c r="L35" i="20"/>
  <c r="I37" i="20"/>
  <c r="L43" i="20"/>
  <c r="L28" i="20"/>
  <c r="E33" i="20"/>
  <c r="L36" i="20"/>
  <c r="O27" i="20"/>
  <c r="I31" i="20"/>
  <c r="O35" i="20"/>
  <c r="O42" i="20"/>
  <c r="L37" i="20"/>
  <c r="E42" i="20"/>
  <c r="F25" i="13"/>
  <c r="H25" i="13" s="1"/>
  <c r="P91" i="13"/>
  <c r="P95" i="13"/>
  <c r="P99" i="13"/>
  <c r="P103" i="13"/>
  <c r="P107" i="13"/>
  <c r="P111" i="13"/>
  <c r="Q91" i="13"/>
  <c r="Q95" i="13"/>
  <c r="Q99" i="13"/>
  <c r="Q103" i="13"/>
  <c r="Q107" i="13"/>
  <c r="Q111" i="13"/>
  <c r="P92" i="13"/>
  <c r="P96" i="13"/>
  <c r="Q96" i="13" s="1"/>
  <c r="P100" i="13"/>
  <c r="Q100" i="13" s="1"/>
  <c r="P104" i="13"/>
  <c r="Q104" i="13" s="1"/>
  <c r="P108" i="13"/>
  <c r="P112" i="13"/>
  <c r="Q112" i="13" s="1"/>
  <c r="Q92" i="13"/>
  <c r="Q108" i="13"/>
  <c r="P93" i="13"/>
  <c r="P97" i="13"/>
  <c r="P101" i="13"/>
  <c r="P105" i="13"/>
  <c r="P109" i="13"/>
  <c r="P113" i="13"/>
  <c r="Q93" i="13"/>
  <c r="Q97" i="13"/>
  <c r="Q101" i="13"/>
  <c r="Q105" i="13"/>
  <c r="Q109" i="13"/>
  <c r="Q113" i="13"/>
  <c r="P94" i="13"/>
  <c r="P98" i="13"/>
  <c r="Q98" i="13" s="1"/>
  <c r="P102" i="13"/>
  <c r="Q102" i="13" s="1"/>
  <c r="P106" i="13"/>
  <c r="Q106" i="13" s="1"/>
  <c r="P110" i="13"/>
  <c r="Q110" i="13" s="1"/>
  <c r="P114" i="13"/>
  <c r="Q94" i="13"/>
  <c r="Q114" i="13"/>
  <c r="P46" i="13"/>
  <c r="P50" i="13"/>
  <c r="P54" i="13"/>
  <c r="P58" i="13"/>
  <c r="P62" i="13"/>
  <c r="P66" i="13"/>
  <c r="Q46" i="13"/>
  <c r="Q50" i="13"/>
  <c r="Q54" i="13"/>
  <c r="Q58" i="13"/>
  <c r="Q62" i="13"/>
  <c r="Q66" i="13"/>
  <c r="P47" i="13"/>
  <c r="P51" i="13"/>
  <c r="P55" i="13"/>
  <c r="P59" i="13"/>
  <c r="P63" i="13"/>
  <c r="P67" i="13"/>
  <c r="Q47" i="13"/>
  <c r="Q51" i="13"/>
  <c r="Q55" i="13"/>
  <c r="Q59" i="13"/>
  <c r="Q63" i="13"/>
  <c r="Q67" i="13"/>
  <c r="P48" i="13"/>
  <c r="P52" i="13"/>
  <c r="Q52" i="13" s="1"/>
  <c r="P56" i="13"/>
  <c r="Q56" i="13" s="1"/>
  <c r="P60" i="13"/>
  <c r="Q60" i="13" s="1"/>
  <c r="P64" i="13"/>
  <c r="Q64" i="13" s="1"/>
  <c r="P68" i="13"/>
  <c r="Q68" i="13" s="1"/>
  <c r="Q48" i="13"/>
  <c r="P49" i="13"/>
  <c r="P53" i="13"/>
  <c r="P57" i="13"/>
  <c r="P61" i="13"/>
  <c r="Q61" i="13" s="1"/>
  <c r="P65" i="13"/>
  <c r="Q65" i="13" s="1"/>
  <c r="P69" i="13"/>
  <c r="Q69" i="13" s="1"/>
  <c r="Q49" i="13"/>
  <c r="Q53" i="13"/>
  <c r="Q57" i="13"/>
  <c r="P31" i="13"/>
  <c r="P39" i="13"/>
  <c r="P44" i="13"/>
  <c r="Q44" i="13" s="1"/>
  <c r="P26" i="13"/>
  <c r="Q31" i="13"/>
  <c r="P34" i="13"/>
  <c r="Q39" i="13"/>
  <c r="P42" i="13"/>
  <c r="Q26" i="13"/>
  <c r="P29" i="13"/>
  <c r="Q34" i="13"/>
  <c r="P37" i="13"/>
  <c r="Q42" i="13"/>
  <c r="Q29" i="13"/>
  <c r="P32" i="13"/>
  <c r="Q37" i="13"/>
  <c r="P40" i="13"/>
  <c r="P27" i="13"/>
  <c r="Q32" i="13"/>
  <c r="P35" i="13"/>
  <c r="Q40" i="13"/>
  <c r="P43" i="13"/>
  <c r="P36" i="13"/>
  <c r="Q36" i="13" s="1"/>
  <c r="Q27" i="13"/>
  <c r="P30" i="13"/>
  <c r="Q35" i="13"/>
  <c r="P38" i="13"/>
  <c r="Q43" i="13"/>
  <c r="Q30" i="13"/>
  <c r="P33" i="13"/>
  <c r="Q33" i="13" s="1"/>
  <c r="Q38" i="13"/>
  <c r="P41" i="13"/>
  <c r="Q41" i="13" s="1"/>
  <c r="P28" i="13"/>
  <c r="Q28" i="13" s="1"/>
  <c r="F114" i="13"/>
  <c r="M93" i="13"/>
  <c r="M99" i="13"/>
  <c r="M104" i="13"/>
  <c r="M11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M96" i="13"/>
  <c r="M100" i="13"/>
  <c r="M105" i="13"/>
  <c r="M111" i="13"/>
  <c r="N99" i="13"/>
  <c r="N104" i="13"/>
  <c r="N110" i="13"/>
  <c r="M95" i="13"/>
  <c r="M101" i="13"/>
  <c r="M107" i="13"/>
  <c r="M112" i="13"/>
  <c r="N96" i="13"/>
  <c r="N105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J114" i="13"/>
  <c r="K114" i="13" s="1"/>
  <c r="M94" i="13"/>
  <c r="M98" i="13"/>
  <c r="N98" i="13" s="1"/>
  <c r="M102" i="13"/>
  <c r="M108" i="13"/>
  <c r="M114" i="13"/>
  <c r="N114" i="13" s="1"/>
  <c r="N94" i="13"/>
  <c r="N100" i="13"/>
  <c r="N107" i="13"/>
  <c r="N111" i="13"/>
  <c r="J91" i="13"/>
  <c r="J92" i="13"/>
  <c r="K92" i="13" s="1"/>
  <c r="J93" i="13"/>
  <c r="K93" i="13" s="1"/>
  <c r="J94" i="13"/>
  <c r="K94" i="13" s="1"/>
  <c r="J95" i="13"/>
  <c r="J96" i="13"/>
  <c r="K96" i="13" s="1"/>
  <c r="J97" i="13"/>
  <c r="J98" i="13"/>
  <c r="K98" i="13" s="1"/>
  <c r="J99" i="13"/>
  <c r="J100" i="13"/>
  <c r="K100" i="13" s="1"/>
  <c r="J101" i="13"/>
  <c r="K101" i="13" s="1"/>
  <c r="J102" i="13"/>
  <c r="J103" i="13"/>
  <c r="K103" i="13" s="1"/>
  <c r="J104" i="13"/>
  <c r="K104" i="13" s="1"/>
  <c r="J105" i="13"/>
  <c r="K105" i="13" s="1"/>
  <c r="J106" i="13"/>
  <c r="K106" i="13" s="1"/>
  <c r="J107" i="13"/>
  <c r="K107" i="13" s="1"/>
  <c r="J108" i="13"/>
  <c r="J109" i="13"/>
  <c r="K109" i="13" s="1"/>
  <c r="J110" i="13"/>
  <c r="K110" i="13" s="1"/>
  <c r="J111" i="13"/>
  <c r="K111" i="13" s="1"/>
  <c r="J112" i="13"/>
  <c r="K112" i="13" s="1"/>
  <c r="J113" i="13"/>
  <c r="K91" i="13"/>
  <c r="K95" i="13"/>
  <c r="K97" i="13"/>
  <c r="K99" i="13"/>
  <c r="K102" i="13"/>
  <c r="K108" i="13"/>
  <c r="K113" i="13"/>
  <c r="M92" i="13"/>
  <c r="N92" i="13" s="1"/>
  <c r="M97" i="13"/>
  <c r="M103" i="13"/>
  <c r="N103" i="13" s="1"/>
  <c r="M109" i="13"/>
  <c r="N109" i="13" s="1"/>
  <c r="N93" i="13"/>
  <c r="N97" i="13"/>
  <c r="N102" i="13"/>
  <c r="N108" i="13"/>
  <c r="M91" i="13"/>
  <c r="N91" i="13" s="1"/>
  <c r="M106" i="13"/>
  <c r="M113" i="13"/>
  <c r="N113" i="13" s="1"/>
  <c r="N95" i="13"/>
  <c r="N101" i="13"/>
  <c r="N106" i="13"/>
  <c r="N112" i="13"/>
  <c r="P136" i="13"/>
  <c r="M137" i="13"/>
  <c r="J138" i="13"/>
  <c r="P140" i="13"/>
  <c r="M141" i="13"/>
  <c r="J142" i="13"/>
  <c r="P144" i="13"/>
  <c r="M145" i="13"/>
  <c r="J146" i="13"/>
  <c r="P148" i="13"/>
  <c r="M149" i="13"/>
  <c r="J150" i="13"/>
  <c r="P152" i="13"/>
  <c r="M153" i="13"/>
  <c r="J154" i="13"/>
  <c r="P156" i="13"/>
  <c r="M157" i="13"/>
  <c r="J158" i="13"/>
  <c r="P160" i="13"/>
  <c r="M161" i="13"/>
  <c r="J162" i="13"/>
  <c r="P164" i="13"/>
  <c r="M165" i="13"/>
  <c r="J166" i="13"/>
  <c r="P168" i="13"/>
  <c r="M169" i="13"/>
  <c r="J170" i="13"/>
  <c r="P172" i="13"/>
  <c r="M173" i="13"/>
  <c r="J174" i="13"/>
  <c r="P176" i="13"/>
  <c r="M177" i="13"/>
  <c r="J178" i="13"/>
  <c r="P180" i="13"/>
  <c r="M181" i="13"/>
  <c r="J182" i="13"/>
  <c r="P184" i="13"/>
  <c r="M185" i="13"/>
  <c r="J186" i="13"/>
  <c r="P188" i="13"/>
  <c r="M189" i="13"/>
  <c r="J190" i="13"/>
  <c r="P192" i="13"/>
  <c r="M193" i="13"/>
  <c r="J194" i="13"/>
  <c r="P196" i="13"/>
  <c r="M197" i="13"/>
  <c r="J198" i="13"/>
  <c r="P200" i="13"/>
  <c r="M201" i="13"/>
  <c r="J202" i="13"/>
  <c r="P204" i="13"/>
  <c r="M205" i="13"/>
  <c r="J206" i="13"/>
  <c r="P208" i="13"/>
  <c r="M209" i="13"/>
  <c r="F136" i="13"/>
  <c r="N137" i="13"/>
  <c r="K138" i="13"/>
  <c r="F140" i="13"/>
  <c r="Q140" i="13"/>
  <c r="N141" i="13"/>
  <c r="K142" i="13"/>
  <c r="F144" i="13"/>
  <c r="Q144" i="13"/>
  <c r="N145" i="13"/>
  <c r="K146" i="13"/>
  <c r="F148" i="13"/>
  <c r="N149" i="13"/>
  <c r="K150" i="13"/>
  <c r="Q152" i="13"/>
  <c r="N153" i="13"/>
  <c r="Q156" i="13"/>
  <c r="K158" i="13"/>
  <c r="F160" i="13"/>
  <c r="N161" i="13"/>
  <c r="Q136" i="13"/>
  <c r="Q148" i="13"/>
  <c r="F152" i="13"/>
  <c r="K154" i="13"/>
  <c r="F156" i="13"/>
  <c r="N157" i="13"/>
  <c r="Q160" i="13"/>
  <c r="K162" i="13"/>
  <c r="P137" i="13"/>
  <c r="M138" i="13"/>
  <c r="J139" i="13"/>
  <c r="P141" i="13"/>
  <c r="M142" i="13"/>
  <c r="J143" i="13"/>
  <c r="P145" i="13"/>
  <c r="M146" i="13"/>
  <c r="J147" i="13"/>
  <c r="P149" i="13"/>
  <c r="M150" i="13"/>
  <c r="J151" i="13"/>
  <c r="P153" i="13"/>
  <c r="M154" i="13"/>
  <c r="J155" i="13"/>
  <c r="P157" i="13"/>
  <c r="M158" i="13"/>
  <c r="J159" i="13"/>
  <c r="P161" i="13"/>
  <c r="M162" i="13"/>
  <c r="J163" i="13"/>
  <c r="P165" i="13"/>
  <c r="M166" i="13"/>
  <c r="J167" i="13"/>
  <c r="P169" i="13"/>
  <c r="M170" i="13"/>
  <c r="J171" i="13"/>
  <c r="P173" i="13"/>
  <c r="M174" i="13"/>
  <c r="J175" i="13"/>
  <c r="P177" i="13"/>
  <c r="M178" i="13"/>
  <c r="J179" i="13"/>
  <c r="P181" i="13"/>
  <c r="M182" i="13"/>
  <c r="J183" i="13"/>
  <c r="P185" i="13"/>
  <c r="M186" i="13"/>
  <c r="J187" i="13"/>
  <c r="P189" i="13"/>
  <c r="M190" i="13"/>
  <c r="J191" i="13"/>
  <c r="P193" i="13"/>
  <c r="M194" i="13"/>
  <c r="J195" i="13"/>
  <c r="P197" i="13"/>
  <c r="M198" i="13"/>
  <c r="J199" i="13"/>
  <c r="P201" i="13"/>
  <c r="M202" i="13"/>
  <c r="J203" i="13"/>
  <c r="P205" i="13"/>
  <c r="M206" i="13"/>
  <c r="J207" i="13"/>
  <c r="P209" i="13"/>
  <c r="P138" i="13"/>
  <c r="P146" i="13"/>
  <c r="J148" i="13"/>
  <c r="M151" i="13"/>
  <c r="M155" i="13"/>
  <c r="M159" i="13"/>
  <c r="P162" i="13"/>
  <c r="J164" i="13"/>
  <c r="P166" i="13"/>
  <c r="J168" i="13"/>
  <c r="M171" i="13"/>
  <c r="P174" i="13"/>
  <c r="J176" i="13"/>
  <c r="M179" i="13"/>
  <c r="M183" i="13"/>
  <c r="M187" i="13"/>
  <c r="M191" i="13"/>
  <c r="M195" i="13"/>
  <c r="M199" i="13"/>
  <c r="M203" i="13"/>
  <c r="H136" i="13"/>
  <c r="F137" i="13"/>
  <c r="Q137" i="13"/>
  <c r="N138" i="13"/>
  <c r="K139" i="13"/>
  <c r="H140" i="13"/>
  <c r="F141" i="13"/>
  <c r="Q141" i="13"/>
  <c r="N142" i="13"/>
  <c r="K143" i="13"/>
  <c r="H144" i="13"/>
  <c r="F145" i="13"/>
  <c r="Q145" i="13"/>
  <c r="N146" i="13"/>
  <c r="K147" i="13"/>
  <c r="H148" i="13"/>
  <c r="F149" i="13"/>
  <c r="Q149" i="13"/>
  <c r="N150" i="13"/>
  <c r="K151" i="13"/>
  <c r="H152" i="13"/>
  <c r="F153" i="13"/>
  <c r="Q153" i="13"/>
  <c r="N154" i="13"/>
  <c r="K155" i="13"/>
  <c r="H156" i="13"/>
  <c r="F157" i="13"/>
  <c r="Q157" i="13"/>
  <c r="N158" i="13"/>
  <c r="K159" i="13"/>
  <c r="H160" i="13"/>
  <c r="F161" i="13"/>
  <c r="Q161" i="13"/>
  <c r="N162" i="13"/>
  <c r="K163" i="13"/>
  <c r="F165" i="13"/>
  <c r="Q165" i="13"/>
  <c r="N166" i="13"/>
  <c r="K167" i="13"/>
  <c r="F169" i="13"/>
  <c r="Q169" i="13"/>
  <c r="N170" i="13"/>
  <c r="K171" i="13"/>
  <c r="F173" i="13"/>
  <c r="Q173" i="13"/>
  <c r="N174" i="13"/>
  <c r="K175" i="13"/>
  <c r="F177" i="13"/>
  <c r="Q177" i="13"/>
  <c r="N178" i="13"/>
  <c r="K179" i="13"/>
  <c r="F181" i="13"/>
  <c r="Q181" i="13"/>
  <c r="N182" i="13"/>
  <c r="K183" i="13"/>
  <c r="F185" i="13"/>
  <c r="Q185" i="13"/>
  <c r="N186" i="13"/>
  <c r="K187" i="13"/>
  <c r="F189" i="13"/>
  <c r="Q189" i="13"/>
  <c r="N190" i="13"/>
  <c r="K191" i="13"/>
  <c r="F193" i="13"/>
  <c r="Q193" i="13"/>
  <c r="N194" i="13"/>
  <c r="K195" i="13"/>
  <c r="F197" i="13"/>
  <c r="Q197" i="13"/>
  <c r="N198" i="13"/>
  <c r="K199" i="13"/>
  <c r="F201" i="13"/>
  <c r="Q201" i="13"/>
  <c r="N202" i="13"/>
  <c r="K203" i="13"/>
  <c r="F205" i="13"/>
  <c r="Q205" i="13"/>
  <c r="N206" i="13"/>
  <c r="K207" i="13"/>
  <c r="F209" i="13"/>
  <c r="Q209" i="13"/>
  <c r="J136" i="13"/>
  <c r="M139" i="13"/>
  <c r="J140" i="13"/>
  <c r="P142" i="13"/>
  <c r="M143" i="13"/>
  <c r="J144" i="13"/>
  <c r="M147" i="13"/>
  <c r="P150" i="13"/>
  <c r="J152" i="13"/>
  <c r="P154" i="13"/>
  <c r="J156" i="13"/>
  <c r="P158" i="13"/>
  <c r="M163" i="13"/>
  <c r="M167" i="13"/>
  <c r="P170" i="13"/>
  <c r="J172" i="13"/>
  <c r="M175" i="13"/>
  <c r="P178" i="13"/>
  <c r="J180" i="13"/>
  <c r="P182" i="13"/>
  <c r="P186" i="13"/>
  <c r="J188" i="13"/>
  <c r="J192" i="13"/>
  <c r="J196" i="13"/>
  <c r="J200" i="13"/>
  <c r="J204" i="13"/>
  <c r="J160" i="13"/>
  <c r="J184" i="13"/>
  <c r="P190" i="13"/>
  <c r="P194" i="13"/>
  <c r="P198" i="13"/>
  <c r="P202" i="13"/>
  <c r="K136" i="13"/>
  <c r="H137" i="13"/>
  <c r="F138" i="13"/>
  <c r="Q138" i="13"/>
  <c r="N139" i="13"/>
  <c r="K140" i="13"/>
  <c r="H141" i="13"/>
  <c r="F142" i="13"/>
  <c r="Q142" i="13"/>
  <c r="N143" i="13"/>
  <c r="K144" i="13"/>
  <c r="H145" i="13"/>
  <c r="F146" i="13"/>
  <c r="Q146" i="13"/>
  <c r="N147" i="13"/>
  <c r="K148" i="13"/>
  <c r="H149" i="13"/>
  <c r="F150" i="13"/>
  <c r="Q150" i="13"/>
  <c r="N151" i="13"/>
  <c r="K152" i="13"/>
  <c r="H153" i="13"/>
  <c r="F154" i="13"/>
  <c r="Q154" i="13"/>
  <c r="N155" i="13"/>
  <c r="K156" i="13"/>
  <c r="H157" i="13"/>
  <c r="F158" i="13"/>
  <c r="Q158" i="13"/>
  <c r="N159" i="13"/>
  <c r="K160" i="13"/>
  <c r="H161" i="13"/>
  <c r="F162" i="13"/>
  <c r="Q162" i="13"/>
  <c r="N163" i="13"/>
  <c r="K164" i="13"/>
  <c r="H165" i="13"/>
  <c r="F166" i="13"/>
  <c r="Q166" i="13"/>
  <c r="N167" i="13"/>
  <c r="K168" i="13"/>
  <c r="H169" i="13"/>
  <c r="F170" i="13"/>
  <c r="Q170" i="13"/>
  <c r="N171" i="13"/>
  <c r="K172" i="13"/>
  <c r="H173" i="13"/>
  <c r="F174" i="13"/>
  <c r="Q174" i="13"/>
  <c r="N175" i="13"/>
  <c r="K176" i="13"/>
  <c r="H177" i="13"/>
  <c r="F178" i="13"/>
  <c r="Q178" i="13"/>
  <c r="N179" i="13"/>
  <c r="K180" i="13"/>
  <c r="H181" i="13"/>
  <c r="F182" i="13"/>
  <c r="Q182" i="13"/>
  <c r="N183" i="13"/>
  <c r="K184" i="13"/>
  <c r="H185" i="13"/>
  <c r="F186" i="13"/>
  <c r="Q186" i="13"/>
  <c r="N187" i="13"/>
  <c r="K188" i="13"/>
  <c r="H189" i="13"/>
  <c r="F190" i="13"/>
  <c r="Q190" i="13"/>
  <c r="N191" i="13"/>
  <c r="K192" i="13"/>
  <c r="H193" i="13"/>
  <c r="F194" i="13"/>
  <c r="M136" i="13"/>
  <c r="J137" i="13"/>
  <c r="P139" i="13"/>
  <c r="M140" i="13"/>
  <c r="J141" i="13"/>
  <c r="P143" i="13"/>
  <c r="M144" i="13"/>
  <c r="J145" i="13"/>
  <c r="P147" i="13"/>
  <c r="M148" i="13"/>
  <c r="J149" i="13"/>
  <c r="P151" i="13"/>
  <c r="M152" i="13"/>
  <c r="J153" i="13"/>
  <c r="P155" i="13"/>
  <c r="M156" i="13"/>
  <c r="J157" i="13"/>
  <c r="P159" i="13"/>
  <c r="M160" i="13"/>
  <c r="J161" i="13"/>
  <c r="P163" i="13"/>
  <c r="M164" i="13"/>
  <c r="J165" i="13"/>
  <c r="P167" i="13"/>
  <c r="M168" i="13"/>
  <c r="J169" i="13"/>
  <c r="P171" i="13"/>
  <c r="M172" i="13"/>
  <c r="J173" i="13"/>
  <c r="P175" i="13"/>
  <c r="M176" i="13"/>
  <c r="J177" i="13"/>
  <c r="P179" i="13"/>
  <c r="M180" i="13"/>
  <c r="J181" i="13"/>
  <c r="P183" i="13"/>
  <c r="M184" i="13"/>
  <c r="J185" i="13"/>
  <c r="P187" i="13"/>
  <c r="M188" i="13"/>
  <c r="J189" i="13"/>
  <c r="P191" i="13"/>
  <c r="M192" i="13"/>
  <c r="J193" i="13"/>
  <c r="P195" i="13"/>
  <c r="M196" i="13"/>
  <c r="J197" i="13"/>
  <c r="P199" i="13"/>
  <c r="M200" i="13"/>
  <c r="J201" i="13"/>
  <c r="P203" i="13"/>
  <c r="M204" i="13"/>
  <c r="J205" i="13"/>
  <c r="P207" i="13"/>
  <c r="M208" i="13"/>
  <c r="J209" i="13"/>
  <c r="N136" i="13"/>
  <c r="K137" i="13"/>
  <c r="H138" i="13"/>
  <c r="F139" i="13"/>
  <c r="H139" i="13" s="1"/>
  <c r="Q139" i="13"/>
  <c r="N140" i="13"/>
  <c r="K141" i="13"/>
  <c r="H142" i="13"/>
  <c r="F143" i="13"/>
  <c r="H143" i="13" s="1"/>
  <c r="Q143" i="13"/>
  <c r="N144" i="13"/>
  <c r="K145" i="13"/>
  <c r="H146" i="13"/>
  <c r="F147" i="13"/>
  <c r="H147" i="13" s="1"/>
  <c r="Q147" i="13"/>
  <c r="N148" i="13"/>
  <c r="K149" i="13"/>
  <c r="H150" i="13"/>
  <c r="F151" i="13"/>
  <c r="H151" i="13" s="1"/>
  <c r="Q151" i="13"/>
  <c r="N152" i="13"/>
  <c r="K153" i="13"/>
  <c r="H154" i="13"/>
  <c r="F155" i="13"/>
  <c r="H155" i="13" s="1"/>
  <c r="Q155" i="13"/>
  <c r="N156" i="13"/>
  <c r="K157" i="13"/>
  <c r="H158" i="13"/>
  <c r="F159" i="13"/>
  <c r="H159" i="13" s="1"/>
  <c r="Q159" i="13"/>
  <c r="N160" i="13"/>
  <c r="K161" i="13"/>
  <c r="H162" i="13"/>
  <c r="F163" i="13"/>
  <c r="H163" i="13" s="1"/>
  <c r="Q163" i="13"/>
  <c r="N164" i="13"/>
  <c r="K165" i="13"/>
  <c r="H166" i="13"/>
  <c r="F167" i="13"/>
  <c r="Q167" i="13"/>
  <c r="N168" i="13"/>
  <c r="K169" i="13"/>
  <c r="H170" i="13"/>
  <c r="F171" i="13"/>
  <c r="Q171" i="13"/>
  <c r="N172" i="13"/>
  <c r="K173" i="13"/>
  <c r="Q164" i="13"/>
  <c r="F168" i="13"/>
  <c r="H168" i="13" s="1"/>
  <c r="N181" i="13"/>
  <c r="H186" i="13"/>
  <c r="N188" i="13"/>
  <c r="F195" i="13"/>
  <c r="Q196" i="13"/>
  <c r="K198" i="13"/>
  <c r="F200" i="13"/>
  <c r="H200" i="13" s="1"/>
  <c r="N203" i="13"/>
  <c r="H205" i="13"/>
  <c r="F208" i="13"/>
  <c r="H208" i="13" s="1"/>
  <c r="K209" i="13"/>
  <c r="Q168" i="13"/>
  <c r="F172" i="13"/>
  <c r="H172" i="13" s="1"/>
  <c r="F175" i="13"/>
  <c r="K177" i="13"/>
  <c r="Q179" i="13"/>
  <c r="F184" i="13"/>
  <c r="H184" i="13" s="1"/>
  <c r="K186" i="13"/>
  <c r="Q188" i="13"/>
  <c r="F191" i="13"/>
  <c r="K193" i="13"/>
  <c r="H195" i="13"/>
  <c r="Q198" i="13"/>
  <c r="K200" i="13"/>
  <c r="F202" i="13"/>
  <c r="Q203" i="13"/>
  <c r="K205" i="13"/>
  <c r="N165" i="13"/>
  <c r="Q172" i="13"/>
  <c r="H175" i="13"/>
  <c r="N177" i="13"/>
  <c r="H182" i="13"/>
  <c r="N184" i="13"/>
  <c r="H191" i="13"/>
  <c r="N193" i="13"/>
  <c r="N195" i="13"/>
  <c r="H197" i="13"/>
  <c r="N200" i="13"/>
  <c r="H202" i="13"/>
  <c r="N205" i="13"/>
  <c r="F207" i="13"/>
  <c r="H190" i="13"/>
  <c r="K196" i="13"/>
  <c r="F203" i="13"/>
  <c r="K206" i="13"/>
  <c r="H171" i="13"/>
  <c r="F179" i="13"/>
  <c r="H179" i="13" s="1"/>
  <c r="Q192" i="13"/>
  <c r="H203" i="13"/>
  <c r="J208" i="13"/>
  <c r="K208" i="13" s="1"/>
  <c r="N169" i="13"/>
  <c r="Q175" i="13"/>
  <c r="F180" i="13"/>
  <c r="H180" i="13" s="1"/>
  <c r="K182" i="13"/>
  <c r="Q184" i="13"/>
  <c r="F187" i="13"/>
  <c r="K189" i="13"/>
  <c r="Q191" i="13"/>
  <c r="Q195" i="13"/>
  <c r="K197" i="13"/>
  <c r="F199" i="13"/>
  <c r="Q200" i="13"/>
  <c r="K202" i="13"/>
  <c r="F204" i="13"/>
  <c r="H204" i="13" s="1"/>
  <c r="H207" i="13"/>
  <c r="N208" i="13"/>
  <c r="H174" i="13"/>
  <c r="F198" i="13"/>
  <c r="F164" i="13"/>
  <c r="H164" i="13" s="1"/>
  <c r="Q183" i="13"/>
  <c r="H198" i="13"/>
  <c r="N209" i="13"/>
  <c r="K166" i="13"/>
  <c r="N173" i="13"/>
  <c r="H178" i="13"/>
  <c r="N180" i="13"/>
  <c r="H187" i="13"/>
  <c r="N189" i="13"/>
  <c r="H194" i="13"/>
  <c r="N197" i="13"/>
  <c r="H199" i="13"/>
  <c r="Q202" i="13"/>
  <c r="K204" i="13"/>
  <c r="F206" i="13"/>
  <c r="M207" i="13"/>
  <c r="Q208" i="13"/>
  <c r="H201" i="13"/>
  <c r="N204" i="13"/>
  <c r="N207" i="13"/>
  <c r="N192" i="13"/>
  <c r="Q199" i="13"/>
  <c r="Q204" i="13"/>
  <c r="Q207" i="13"/>
  <c r="Q176" i="13"/>
  <c r="K181" i="13"/>
  <c r="K190" i="13"/>
  <c r="N201" i="13"/>
  <c r="H209" i="13"/>
  <c r="K170" i="13"/>
  <c r="F176" i="13"/>
  <c r="H176" i="13" s="1"/>
  <c r="K178" i="13"/>
  <c r="Q180" i="13"/>
  <c r="F183" i="13"/>
  <c r="H183" i="13" s="1"/>
  <c r="K185" i="13"/>
  <c r="Q187" i="13"/>
  <c r="F192" i="13"/>
  <c r="H192" i="13" s="1"/>
  <c r="K194" i="13"/>
  <c r="F196" i="13"/>
  <c r="H196" i="13" s="1"/>
  <c r="N199" i="13"/>
  <c r="H206" i="13"/>
  <c r="H167" i="13"/>
  <c r="N176" i="13"/>
  <c r="N185" i="13"/>
  <c r="Q194" i="13"/>
  <c r="K201" i="13"/>
  <c r="K174" i="13"/>
  <c r="F188" i="13"/>
  <c r="H188" i="13" s="1"/>
  <c r="N196" i="13"/>
  <c r="P206" i="13"/>
  <c r="Q206" i="13" s="1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J66" i="13"/>
  <c r="J69" i="13"/>
  <c r="K66" i="13"/>
  <c r="K69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K62" i="13" s="1"/>
  <c r="J63" i="13"/>
  <c r="J64" i="13"/>
  <c r="J65" i="13"/>
  <c r="J67" i="13"/>
  <c r="J68" i="13"/>
  <c r="K63" i="13"/>
  <c r="K67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4" i="13"/>
  <c r="K65" i="13"/>
  <c r="K68" i="13"/>
  <c r="M46" i="13"/>
  <c r="M47" i="13"/>
  <c r="M48" i="13"/>
  <c r="N48" i="13" s="1"/>
  <c r="M49" i="13"/>
  <c r="N49" i="13" s="1"/>
  <c r="M50" i="13"/>
  <c r="N50" i="13" s="1"/>
  <c r="M51" i="13"/>
  <c r="M52" i="13"/>
  <c r="N52" i="13" s="1"/>
  <c r="M53" i="13"/>
  <c r="M54" i="13"/>
  <c r="N54" i="13" s="1"/>
  <c r="M55" i="13"/>
  <c r="N55" i="13" s="1"/>
  <c r="M56" i="13"/>
  <c r="N56" i="13" s="1"/>
  <c r="M57" i="13"/>
  <c r="M58" i="13"/>
  <c r="N58" i="13" s="1"/>
  <c r="M59" i="13"/>
  <c r="N59" i="13" s="1"/>
  <c r="M60" i="13"/>
  <c r="N60" i="13" s="1"/>
  <c r="M61" i="13"/>
  <c r="M62" i="13"/>
  <c r="N62" i="13" s="1"/>
  <c r="M63" i="13"/>
  <c r="N63" i="13" s="1"/>
  <c r="M64" i="13"/>
  <c r="M65" i="13"/>
  <c r="N65" i="13" s="1"/>
  <c r="M66" i="13"/>
  <c r="N66" i="13" s="1"/>
  <c r="M67" i="13"/>
  <c r="M68" i="13"/>
  <c r="N68" i="13" s="1"/>
  <c r="M69" i="13"/>
  <c r="N69" i="13" s="1"/>
  <c r="N46" i="13"/>
  <c r="N47" i="13"/>
  <c r="N51" i="13"/>
  <c r="N53" i="13"/>
  <c r="N57" i="13"/>
  <c r="N61" i="13"/>
  <c r="N64" i="13"/>
  <c r="N67" i="13"/>
  <c r="F90" i="13"/>
  <c r="H90" i="13"/>
  <c r="J90" i="13"/>
  <c r="K90" i="13"/>
  <c r="M90" i="13"/>
  <c r="N90" i="13"/>
  <c r="P90" i="13"/>
  <c r="Q90" i="13"/>
  <c r="J204" i="20" l="1"/>
  <c r="F199" i="20"/>
  <c r="J172" i="20"/>
  <c r="P152" i="20"/>
  <c r="M146" i="20"/>
  <c r="F143" i="20"/>
  <c r="J203" i="20"/>
  <c r="J195" i="20"/>
  <c r="J187" i="20"/>
  <c r="M177" i="20"/>
  <c r="J171" i="20"/>
  <c r="F166" i="20"/>
  <c r="M145" i="20"/>
  <c r="M208" i="20"/>
  <c r="P206" i="20"/>
  <c r="F205" i="20"/>
  <c r="J202" i="20"/>
  <c r="M200" i="20"/>
  <c r="P198" i="20"/>
  <c r="F197" i="20"/>
  <c r="J194" i="20"/>
  <c r="M192" i="20"/>
  <c r="P190" i="20"/>
  <c r="F189" i="20"/>
  <c r="J186" i="20"/>
  <c r="M184" i="20"/>
  <c r="P182" i="20"/>
  <c r="F181" i="20"/>
  <c r="J178" i="20"/>
  <c r="M176" i="20"/>
  <c r="P174" i="20"/>
  <c r="F173" i="20"/>
  <c r="J170" i="20"/>
  <c r="M168" i="20"/>
  <c r="P166" i="20"/>
  <c r="F165" i="20"/>
  <c r="J162" i="20"/>
  <c r="M160" i="20"/>
  <c r="P158" i="20"/>
  <c r="F157" i="20"/>
  <c r="J154" i="20"/>
  <c r="M152" i="20"/>
  <c r="P150" i="20"/>
  <c r="F149" i="20"/>
  <c r="J146" i="20"/>
  <c r="M144" i="20"/>
  <c r="P142" i="20"/>
  <c r="F141" i="20"/>
  <c r="J138" i="20"/>
  <c r="M136" i="20"/>
  <c r="P208" i="20"/>
  <c r="P192" i="20"/>
  <c r="M178" i="20"/>
  <c r="P168" i="20"/>
  <c r="M162" i="20"/>
  <c r="P144" i="20"/>
  <c r="F206" i="20"/>
  <c r="F198" i="20"/>
  <c r="M169" i="20"/>
  <c r="F158" i="20"/>
  <c r="P151" i="20"/>
  <c r="P143" i="20"/>
  <c r="J209" i="20"/>
  <c r="M207" i="20"/>
  <c r="P205" i="20"/>
  <c r="F204" i="20"/>
  <c r="J201" i="20"/>
  <c r="M199" i="20"/>
  <c r="P197" i="20"/>
  <c r="F196" i="20"/>
  <c r="J193" i="20"/>
  <c r="M191" i="20"/>
  <c r="P189" i="20"/>
  <c r="F188" i="20"/>
  <c r="J185" i="20"/>
  <c r="M183" i="20"/>
  <c r="P181" i="20"/>
  <c r="F180" i="20"/>
  <c r="J177" i="20"/>
  <c r="M175" i="20"/>
  <c r="P173" i="20"/>
  <c r="F172" i="20"/>
  <c r="J169" i="20"/>
  <c r="M167" i="20"/>
  <c r="P165" i="20"/>
  <c r="F164" i="20"/>
  <c r="J161" i="20"/>
  <c r="M159" i="20"/>
  <c r="P157" i="20"/>
  <c r="F156" i="20"/>
  <c r="J153" i="20"/>
  <c r="M151" i="20"/>
  <c r="P149" i="20"/>
  <c r="F148" i="20"/>
  <c r="J145" i="20"/>
  <c r="M143" i="20"/>
  <c r="P141" i="20"/>
  <c r="F140" i="20"/>
  <c r="J137" i="20"/>
  <c r="F207" i="20"/>
  <c r="P200" i="20"/>
  <c r="F191" i="20"/>
  <c r="P184" i="20"/>
  <c r="F175" i="20"/>
  <c r="J164" i="20"/>
  <c r="M154" i="20"/>
  <c r="J140" i="20"/>
  <c r="P207" i="20"/>
  <c r="P199" i="20"/>
  <c r="M185" i="20"/>
  <c r="J179" i="20"/>
  <c r="F174" i="20"/>
  <c r="M161" i="20"/>
  <c r="M137" i="20"/>
  <c r="J208" i="20"/>
  <c r="M206" i="20"/>
  <c r="P204" i="20"/>
  <c r="F203" i="20"/>
  <c r="J200" i="20"/>
  <c r="M198" i="20"/>
  <c r="P196" i="20"/>
  <c r="F195" i="20"/>
  <c r="J192" i="20"/>
  <c r="M190" i="20"/>
  <c r="P188" i="20"/>
  <c r="F187" i="20"/>
  <c r="J184" i="20"/>
  <c r="M182" i="20"/>
  <c r="P180" i="20"/>
  <c r="F179" i="20"/>
  <c r="J176" i="20"/>
  <c r="M174" i="20"/>
  <c r="P172" i="20"/>
  <c r="F171" i="20"/>
  <c r="J168" i="20"/>
  <c r="M166" i="20"/>
  <c r="P164" i="20"/>
  <c r="F163" i="20"/>
  <c r="J160" i="20"/>
  <c r="M158" i="20"/>
  <c r="P156" i="20"/>
  <c r="F155" i="20"/>
  <c r="J152" i="20"/>
  <c r="M150" i="20"/>
  <c r="P148" i="20"/>
  <c r="F147" i="20"/>
  <c r="J144" i="20"/>
  <c r="M142" i="20"/>
  <c r="P140" i="20"/>
  <c r="F139" i="20"/>
  <c r="J136" i="20"/>
  <c r="J196" i="20"/>
  <c r="P176" i="20"/>
  <c r="J156" i="20"/>
  <c r="J148" i="20"/>
  <c r="M193" i="20"/>
  <c r="P183" i="20"/>
  <c r="J163" i="20"/>
  <c r="J139" i="20"/>
  <c r="J207" i="20"/>
  <c r="M205" i="20"/>
  <c r="P203" i="20"/>
  <c r="F202" i="20"/>
  <c r="J199" i="20"/>
  <c r="M197" i="20"/>
  <c r="P195" i="20"/>
  <c r="F194" i="20"/>
  <c r="J191" i="20"/>
  <c r="M189" i="20"/>
  <c r="P187" i="20"/>
  <c r="F186" i="20"/>
  <c r="J183" i="20"/>
  <c r="M181" i="20"/>
  <c r="P179" i="20"/>
  <c r="F178" i="20"/>
  <c r="J175" i="20"/>
  <c r="M173" i="20"/>
  <c r="P171" i="20"/>
  <c r="F170" i="20"/>
  <c r="J167" i="20"/>
  <c r="M165" i="20"/>
  <c r="P163" i="20"/>
  <c r="F162" i="20"/>
  <c r="J159" i="20"/>
  <c r="M157" i="20"/>
  <c r="P155" i="20"/>
  <c r="F154" i="20"/>
  <c r="J151" i="20"/>
  <c r="M149" i="20"/>
  <c r="P147" i="20"/>
  <c r="F146" i="20"/>
  <c r="J143" i="20"/>
  <c r="M141" i="20"/>
  <c r="P139" i="20"/>
  <c r="F138" i="20"/>
  <c r="M202" i="20"/>
  <c r="M194" i="20"/>
  <c r="M186" i="20"/>
  <c r="F183" i="20"/>
  <c r="F167" i="20"/>
  <c r="P160" i="20"/>
  <c r="F151" i="20"/>
  <c r="P136" i="20"/>
  <c r="F190" i="20"/>
  <c r="F182" i="20"/>
  <c r="P175" i="20"/>
  <c r="P159" i="20"/>
  <c r="M153" i="20"/>
  <c r="J147" i="20"/>
  <c r="F209" i="20"/>
  <c r="J206" i="20"/>
  <c r="M204" i="20"/>
  <c r="P202" i="20"/>
  <c r="F201" i="20"/>
  <c r="J198" i="20"/>
  <c r="M196" i="20"/>
  <c r="P194" i="20"/>
  <c r="F193" i="20"/>
  <c r="J190" i="20"/>
  <c r="M188" i="20"/>
  <c r="P186" i="20"/>
  <c r="F185" i="20"/>
  <c r="J182" i="20"/>
  <c r="M180" i="20"/>
  <c r="P178" i="20"/>
  <c r="F177" i="20"/>
  <c r="J174" i="20"/>
  <c r="M172" i="20"/>
  <c r="P170" i="20"/>
  <c r="F169" i="20"/>
  <c r="J166" i="20"/>
  <c r="M164" i="20"/>
  <c r="P162" i="20"/>
  <c r="F161" i="20"/>
  <c r="J158" i="20"/>
  <c r="M156" i="20"/>
  <c r="P154" i="20"/>
  <c r="F153" i="20"/>
  <c r="J150" i="20"/>
  <c r="M148" i="20"/>
  <c r="P146" i="20"/>
  <c r="F145" i="20"/>
  <c r="J142" i="20"/>
  <c r="M140" i="20"/>
  <c r="P138" i="20"/>
  <c r="F137" i="20"/>
  <c r="J188" i="20"/>
  <c r="J180" i="20"/>
  <c r="M170" i="20"/>
  <c r="F159" i="20"/>
  <c r="M138" i="20"/>
  <c r="M209" i="20"/>
  <c r="M201" i="20"/>
  <c r="P191" i="20"/>
  <c r="P167" i="20"/>
  <c r="J155" i="20"/>
  <c r="F150" i="20"/>
  <c r="F142" i="20"/>
  <c r="P209" i="20"/>
  <c r="F208" i="20"/>
  <c r="J205" i="20"/>
  <c r="M203" i="20"/>
  <c r="P201" i="20"/>
  <c r="F200" i="20"/>
  <c r="J197" i="20"/>
  <c r="M195" i="20"/>
  <c r="P193" i="20"/>
  <c r="F192" i="20"/>
  <c r="J189" i="20"/>
  <c r="M187" i="20"/>
  <c r="P185" i="20"/>
  <c r="F184" i="20"/>
  <c r="J181" i="20"/>
  <c r="M179" i="20"/>
  <c r="P177" i="20"/>
  <c r="F176" i="20"/>
  <c r="J173" i="20"/>
  <c r="M171" i="20"/>
  <c r="P169" i="20"/>
  <c r="F168" i="20"/>
  <c r="J165" i="20"/>
  <c r="M163" i="20"/>
  <c r="P161" i="20"/>
  <c r="F160" i="20"/>
  <c r="J157" i="20"/>
  <c r="M155" i="20"/>
  <c r="P153" i="20"/>
  <c r="F152" i="20"/>
  <c r="J149" i="20"/>
  <c r="M147" i="20"/>
  <c r="P145" i="20"/>
  <c r="F144" i="20"/>
  <c r="J141" i="20"/>
  <c r="M139" i="20"/>
  <c r="P137" i="20"/>
  <c r="F136" i="20"/>
  <c r="M109" i="20"/>
  <c r="P91" i="20"/>
  <c r="P114" i="20"/>
  <c r="F113" i="20"/>
  <c r="J110" i="20"/>
  <c r="M108" i="20"/>
  <c r="P106" i="20"/>
  <c r="F105" i="20"/>
  <c r="J102" i="20"/>
  <c r="M100" i="20"/>
  <c r="P98" i="20"/>
  <c r="F97" i="20"/>
  <c r="J94" i="20"/>
  <c r="M92" i="20"/>
  <c r="P113" i="20"/>
  <c r="F112" i="20"/>
  <c r="J109" i="20"/>
  <c r="M107" i="20"/>
  <c r="P105" i="20"/>
  <c r="F104" i="20"/>
  <c r="J101" i="20"/>
  <c r="M99" i="20"/>
  <c r="P97" i="20"/>
  <c r="F96" i="20"/>
  <c r="J93" i="20"/>
  <c r="M91" i="20"/>
  <c r="F106" i="20"/>
  <c r="J95" i="20"/>
  <c r="M114" i="20"/>
  <c r="P112" i="20"/>
  <c r="F111" i="20"/>
  <c r="J108" i="20"/>
  <c r="M106" i="20"/>
  <c r="P104" i="20"/>
  <c r="F103" i="20"/>
  <c r="J100" i="20"/>
  <c r="M98" i="20"/>
  <c r="P96" i="20"/>
  <c r="F95" i="20"/>
  <c r="J92" i="20"/>
  <c r="J111" i="20"/>
  <c r="J103" i="20"/>
  <c r="M93" i="20"/>
  <c r="M113" i="20"/>
  <c r="P111" i="20"/>
  <c r="F110" i="20"/>
  <c r="J107" i="20"/>
  <c r="M105" i="20"/>
  <c r="P103" i="20"/>
  <c r="F102" i="20"/>
  <c r="J99" i="20"/>
  <c r="M97" i="20"/>
  <c r="P95" i="20"/>
  <c r="F94" i="20"/>
  <c r="J91" i="20"/>
  <c r="P107" i="20"/>
  <c r="J114" i="20"/>
  <c r="M112" i="20"/>
  <c r="P110" i="20"/>
  <c r="F109" i="20"/>
  <c r="J106" i="20"/>
  <c r="M104" i="20"/>
  <c r="P102" i="20"/>
  <c r="F101" i="20"/>
  <c r="J98" i="20"/>
  <c r="M96" i="20"/>
  <c r="P94" i="20"/>
  <c r="F93" i="20"/>
  <c r="M101" i="20"/>
  <c r="F98" i="20"/>
  <c r="J113" i="20"/>
  <c r="M111" i="20"/>
  <c r="P109" i="20"/>
  <c r="F108" i="20"/>
  <c r="J105" i="20"/>
  <c r="M103" i="20"/>
  <c r="P101" i="20"/>
  <c r="F100" i="20"/>
  <c r="J97" i="20"/>
  <c r="M95" i="20"/>
  <c r="P93" i="20"/>
  <c r="F92" i="20"/>
  <c r="F114" i="20"/>
  <c r="P99" i="20"/>
  <c r="J112" i="20"/>
  <c r="M110" i="20"/>
  <c r="P108" i="20"/>
  <c r="F107" i="20"/>
  <c r="J104" i="20"/>
  <c r="M102" i="20"/>
  <c r="P100" i="20"/>
  <c r="F99" i="20"/>
  <c r="J96" i="20"/>
  <c r="M94" i="20"/>
  <c r="P92" i="20"/>
  <c r="F91" i="20"/>
  <c r="F61" i="20"/>
  <c r="P46" i="20"/>
  <c r="M55" i="20"/>
  <c r="M47" i="20"/>
  <c r="P60" i="20"/>
  <c r="M54" i="20"/>
  <c r="F51" i="20"/>
  <c r="M46" i="20"/>
  <c r="M69" i="20"/>
  <c r="P67" i="20"/>
  <c r="F66" i="20"/>
  <c r="J63" i="20"/>
  <c r="M61" i="20"/>
  <c r="P59" i="20"/>
  <c r="F58" i="20"/>
  <c r="J55" i="20"/>
  <c r="M53" i="20"/>
  <c r="P51" i="20"/>
  <c r="F50" i="20"/>
  <c r="J47" i="20"/>
  <c r="J66" i="20"/>
  <c r="J58" i="20"/>
  <c r="F53" i="20"/>
  <c r="J49" i="20"/>
  <c r="F59" i="20"/>
  <c r="P52" i="20"/>
  <c r="J48" i="20"/>
  <c r="M68" i="20"/>
  <c r="P66" i="20"/>
  <c r="F65" i="20"/>
  <c r="J62" i="20"/>
  <c r="M60" i="20"/>
  <c r="P58" i="20"/>
  <c r="F57" i="20"/>
  <c r="J54" i="20"/>
  <c r="M52" i="20"/>
  <c r="P50" i="20"/>
  <c r="F49" i="20"/>
  <c r="J46" i="20"/>
  <c r="F69" i="20"/>
  <c r="P62" i="20"/>
  <c r="P54" i="20"/>
  <c r="M48" i="20"/>
  <c r="J65" i="20"/>
  <c r="F60" i="20"/>
  <c r="P68" i="20"/>
  <c r="J69" i="20"/>
  <c r="F64" i="20"/>
  <c r="M59" i="20"/>
  <c r="P57" i="20"/>
  <c r="F56" i="20"/>
  <c r="J53" i="20"/>
  <c r="M51" i="20"/>
  <c r="P49" i="20"/>
  <c r="F48" i="20"/>
  <c r="M64" i="20"/>
  <c r="J50" i="20"/>
  <c r="P69" i="20"/>
  <c r="M63" i="20"/>
  <c r="J57" i="20"/>
  <c r="F52" i="20"/>
  <c r="F67" i="20"/>
  <c r="M62" i="20"/>
  <c r="J56" i="20"/>
  <c r="P65" i="20"/>
  <c r="J68" i="20"/>
  <c r="M66" i="20"/>
  <c r="P64" i="20"/>
  <c r="F63" i="20"/>
  <c r="J60" i="20"/>
  <c r="M58" i="20"/>
  <c r="P56" i="20"/>
  <c r="F55" i="20"/>
  <c r="J52" i="20"/>
  <c r="M50" i="20"/>
  <c r="P48" i="20"/>
  <c r="F47" i="20"/>
  <c r="M56" i="20"/>
  <c r="F68" i="20"/>
  <c r="P61" i="20"/>
  <c r="P53" i="20"/>
  <c r="J64" i="20"/>
  <c r="M67" i="20"/>
  <c r="J61" i="20"/>
  <c r="J67" i="20"/>
  <c r="M65" i="20"/>
  <c r="P63" i="20"/>
  <c r="F62" i="20"/>
  <c r="J59" i="20"/>
  <c r="M57" i="20"/>
  <c r="P55" i="20"/>
  <c r="F54" i="20"/>
  <c r="J51" i="20"/>
  <c r="M49" i="20"/>
  <c r="P47" i="20"/>
  <c r="F46" i="20"/>
  <c r="F42" i="20"/>
  <c r="M37" i="20"/>
  <c r="P42" i="20"/>
  <c r="P35" i="20"/>
  <c r="J31" i="20"/>
  <c r="P27" i="20"/>
  <c r="M36" i="20"/>
  <c r="F33" i="20"/>
  <c r="M28" i="20"/>
  <c r="M43" i="20"/>
  <c r="J37" i="20"/>
  <c r="M35" i="20"/>
  <c r="P33" i="20"/>
  <c r="F32" i="20"/>
  <c r="J29" i="20"/>
  <c r="M27" i="20"/>
  <c r="J44" i="20"/>
  <c r="M42" i="20"/>
  <c r="P40" i="20"/>
  <c r="F39" i="20"/>
  <c r="J36" i="20"/>
  <c r="M34" i="20"/>
  <c r="P32" i="20"/>
  <c r="F31" i="20"/>
  <c r="J28" i="20"/>
  <c r="M26" i="20"/>
  <c r="P43" i="20"/>
  <c r="J39" i="20"/>
  <c r="M44" i="20"/>
  <c r="F40" i="20"/>
  <c r="J43" i="20"/>
  <c r="P31" i="20"/>
  <c r="J42" i="20"/>
  <c r="M40" i="20"/>
  <c r="P38" i="20"/>
  <c r="F37" i="20"/>
  <c r="J34" i="20"/>
  <c r="M32" i="20"/>
  <c r="P30" i="20"/>
  <c r="F29" i="20"/>
  <c r="J26" i="20"/>
  <c r="P34" i="20"/>
  <c r="P26" i="20"/>
  <c r="F44" i="20"/>
  <c r="J41" i="20"/>
  <c r="M39" i="20"/>
  <c r="P37" i="20"/>
  <c r="F36" i="20"/>
  <c r="J33" i="20"/>
  <c r="M31" i="20"/>
  <c r="P29" i="20"/>
  <c r="F28" i="20"/>
  <c r="F34" i="20"/>
  <c r="M29" i="20"/>
  <c r="F26" i="20"/>
  <c r="F41" i="20"/>
  <c r="J38" i="20"/>
  <c r="J30" i="20"/>
  <c r="P41" i="20"/>
  <c r="M41" i="20"/>
  <c r="P39" i="20"/>
  <c r="F38" i="20"/>
  <c r="J35" i="20"/>
  <c r="M33" i="20"/>
  <c r="F30" i="20"/>
  <c r="J27" i="20"/>
  <c r="P44" i="20"/>
  <c r="F43" i="20"/>
  <c r="J40" i="20"/>
  <c r="M38" i="20"/>
  <c r="P36" i="20"/>
  <c r="F35" i="20"/>
  <c r="J32" i="20"/>
  <c r="M30" i="20"/>
  <c r="P28" i="20"/>
  <c r="F27" i="20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E25" i="15"/>
  <c r="G23" i="15" s="1"/>
  <c r="S2" i="20"/>
  <c r="AC2" i="20"/>
  <c r="AC70" i="20" s="1"/>
  <c r="AK2" i="20"/>
  <c r="AJ15" i="20" s="1"/>
  <c r="S3" i="20"/>
  <c r="AD4" i="20"/>
  <c r="AK4" i="20"/>
  <c r="E227" i="20"/>
  <c r="I227" i="20"/>
  <c r="L227" i="20"/>
  <c r="O227" i="20"/>
  <c r="G25" i="20"/>
  <c r="F11" i="20"/>
  <c r="C16" i="20"/>
  <c r="F13" i="20" s="1"/>
  <c r="AD20" i="20"/>
  <c r="AK20" i="20"/>
  <c r="AD42" i="20"/>
  <c r="AK43" i="20"/>
  <c r="AD59" i="20"/>
  <c r="AK59" i="20"/>
  <c r="E228" i="20"/>
  <c r="F228" i="20"/>
  <c r="I228" i="20"/>
  <c r="J228" i="20"/>
  <c r="L228" i="20"/>
  <c r="M228" i="20"/>
  <c r="O228" i="20"/>
  <c r="P228" i="20"/>
  <c r="E229" i="20"/>
  <c r="F229" i="20"/>
  <c r="I229" i="20"/>
  <c r="J229" i="20"/>
  <c r="L229" i="20"/>
  <c r="M229" i="20"/>
  <c r="O229" i="20"/>
  <c r="P229" i="20"/>
  <c r="E230" i="20"/>
  <c r="F230" i="20"/>
  <c r="I230" i="20"/>
  <c r="J230" i="20"/>
  <c r="L230" i="20"/>
  <c r="M230" i="20"/>
  <c r="O230" i="20"/>
  <c r="P230" i="20"/>
  <c r="E231" i="20"/>
  <c r="F231" i="20"/>
  <c r="I231" i="20"/>
  <c r="J231" i="20"/>
  <c r="L231" i="20"/>
  <c r="M231" i="20"/>
  <c r="O231" i="20"/>
  <c r="P231" i="20"/>
  <c r="E232" i="20"/>
  <c r="F232" i="20"/>
  <c r="I232" i="20"/>
  <c r="J232" i="20"/>
  <c r="L232" i="20"/>
  <c r="M232" i="20"/>
  <c r="O232" i="20"/>
  <c r="P232" i="20"/>
  <c r="E233" i="20"/>
  <c r="F233" i="20"/>
  <c r="I233" i="20"/>
  <c r="J233" i="20"/>
  <c r="L233" i="20"/>
  <c r="M233" i="20"/>
  <c r="O233" i="20"/>
  <c r="P233" i="20"/>
  <c r="E234" i="20"/>
  <c r="F234" i="20"/>
  <c r="I234" i="20"/>
  <c r="J234" i="20"/>
  <c r="L234" i="20"/>
  <c r="M234" i="20"/>
  <c r="O234" i="20"/>
  <c r="P234" i="20"/>
  <c r="E235" i="20"/>
  <c r="F235" i="20"/>
  <c r="I235" i="20"/>
  <c r="J235" i="20"/>
  <c r="L235" i="20"/>
  <c r="M235" i="20"/>
  <c r="O235" i="20"/>
  <c r="P235" i="20"/>
  <c r="E236" i="20"/>
  <c r="F236" i="20"/>
  <c r="I236" i="20"/>
  <c r="J236" i="20"/>
  <c r="L236" i="20"/>
  <c r="M236" i="20"/>
  <c r="O236" i="20"/>
  <c r="P236" i="20"/>
  <c r="E237" i="20"/>
  <c r="F237" i="20"/>
  <c r="I237" i="20"/>
  <c r="J237" i="20"/>
  <c r="L237" i="20"/>
  <c r="M237" i="20"/>
  <c r="O237" i="20"/>
  <c r="P237" i="20"/>
  <c r="E238" i="20"/>
  <c r="F238" i="20"/>
  <c r="I238" i="20"/>
  <c r="J238" i="20"/>
  <c r="L238" i="20"/>
  <c r="M238" i="20"/>
  <c r="O238" i="20"/>
  <c r="P238" i="20"/>
  <c r="E239" i="20"/>
  <c r="F239" i="20"/>
  <c r="I239" i="20"/>
  <c r="J239" i="20"/>
  <c r="L239" i="20"/>
  <c r="M239" i="20"/>
  <c r="O239" i="20"/>
  <c r="P239" i="20"/>
  <c r="E240" i="20"/>
  <c r="F240" i="20"/>
  <c r="I240" i="20"/>
  <c r="J240" i="20"/>
  <c r="L240" i="20"/>
  <c r="M240" i="20"/>
  <c r="O240" i="20"/>
  <c r="P240" i="20"/>
  <c r="E241" i="20"/>
  <c r="F241" i="20"/>
  <c r="I241" i="20"/>
  <c r="J241" i="20"/>
  <c r="L241" i="20"/>
  <c r="M241" i="20"/>
  <c r="O241" i="20"/>
  <c r="P241" i="20"/>
  <c r="E242" i="20"/>
  <c r="F242" i="20"/>
  <c r="I242" i="20"/>
  <c r="J242" i="20"/>
  <c r="L242" i="20"/>
  <c r="M242" i="20"/>
  <c r="O242" i="20"/>
  <c r="P242" i="20"/>
  <c r="E243" i="20"/>
  <c r="F243" i="20"/>
  <c r="I243" i="20"/>
  <c r="J243" i="20"/>
  <c r="L243" i="20"/>
  <c r="M243" i="20"/>
  <c r="O243" i="20"/>
  <c r="P243" i="20"/>
  <c r="E244" i="20"/>
  <c r="F244" i="20"/>
  <c r="I244" i="20"/>
  <c r="J244" i="20"/>
  <c r="L244" i="20"/>
  <c r="M244" i="20"/>
  <c r="O244" i="20"/>
  <c r="P244" i="20"/>
  <c r="E245" i="20"/>
  <c r="F245" i="20"/>
  <c r="I245" i="20"/>
  <c r="J245" i="20"/>
  <c r="L245" i="20"/>
  <c r="M245" i="20"/>
  <c r="O245" i="20"/>
  <c r="P245" i="20"/>
  <c r="E246" i="20"/>
  <c r="F246" i="20"/>
  <c r="I246" i="20"/>
  <c r="J246" i="20"/>
  <c r="L246" i="20"/>
  <c r="M246" i="20"/>
  <c r="O246" i="20"/>
  <c r="P246" i="20"/>
  <c r="E247" i="20"/>
  <c r="F247" i="20"/>
  <c r="I247" i="20"/>
  <c r="J247" i="20"/>
  <c r="L247" i="20"/>
  <c r="M247" i="20"/>
  <c r="O247" i="20"/>
  <c r="P247" i="20"/>
  <c r="E248" i="20"/>
  <c r="F248" i="20"/>
  <c r="I248" i="20"/>
  <c r="J248" i="20"/>
  <c r="L248" i="20"/>
  <c r="M248" i="20"/>
  <c r="O248" i="20"/>
  <c r="P248" i="20"/>
  <c r="E249" i="20"/>
  <c r="F249" i="20"/>
  <c r="I249" i="20"/>
  <c r="J249" i="20"/>
  <c r="L249" i="20"/>
  <c r="M249" i="20"/>
  <c r="O249" i="20"/>
  <c r="P249" i="20"/>
  <c r="E250" i="20"/>
  <c r="F250" i="20"/>
  <c r="I250" i="20"/>
  <c r="J250" i="20"/>
  <c r="L250" i="20"/>
  <c r="M250" i="20"/>
  <c r="O250" i="20"/>
  <c r="P250" i="20"/>
  <c r="E251" i="20"/>
  <c r="F251" i="20"/>
  <c r="I251" i="20"/>
  <c r="J251" i="20"/>
  <c r="L251" i="20"/>
  <c r="M251" i="20"/>
  <c r="O251" i="20"/>
  <c r="P251" i="20"/>
  <c r="E252" i="20"/>
  <c r="F252" i="20"/>
  <c r="I252" i="20"/>
  <c r="J252" i="20"/>
  <c r="L252" i="20"/>
  <c r="M252" i="20"/>
  <c r="O252" i="20"/>
  <c r="P252" i="20"/>
  <c r="E253" i="20"/>
  <c r="F253" i="20"/>
  <c r="I253" i="20"/>
  <c r="J253" i="20"/>
  <c r="L253" i="20"/>
  <c r="M253" i="20"/>
  <c r="O253" i="20"/>
  <c r="P253" i="20"/>
  <c r="E254" i="20"/>
  <c r="F254" i="20"/>
  <c r="I254" i="20"/>
  <c r="J254" i="20"/>
  <c r="L254" i="20"/>
  <c r="M254" i="20"/>
  <c r="O254" i="20"/>
  <c r="P254" i="20"/>
  <c r="E255" i="20"/>
  <c r="F255" i="20"/>
  <c r="I255" i="20"/>
  <c r="J255" i="20"/>
  <c r="L255" i="20"/>
  <c r="M255" i="20"/>
  <c r="O255" i="20"/>
  <c r="P255" i="20"/>
  <c r="E256" i="20"/>
  <c r="F256" i="20"/>
  <c r="I256" i="20"/>
  <c r="J256" i="20"/>
  <c r="L256" i="20"/>
  <c r="M256" i="20"/>
  <c r="O256" i="20"/>
  <c r="P256" i="20"/>
  <c r="E257" i="20"/>
  <c r="F257" i="20"/>
  <c r="I257" i="20"/>
  <c r="J257" i="20"/>
  <c r="L257" i="20"/>
  <c r="M257" i="20"/>
  <c r="O257" i="20"/>
  <c r="P257" i="20"/>
  <c r="E258" i="20"/>
  <c r="F258" i="20"/>
  <c r="I258" i="20"/>
  <c r="J258" i="20"/>
  <c r="L258" i="20"/>
  <c r="M258" i="20"/>
  <c r="O258" i="20"/>
  <c r="P258" i="20"/>
  <c r="E259" i="20"/>
  <c r="F259" i="20"/>
  <c r="I259" i="20"/>
  <c r="J259" i="20"/>
  <c r="L259" i="20"/>
  <c r="M259" i="20"/>
  <c r="O259" i="20"/>
  <c r="P259" i="20"/>
  <c r="E260" i="20"/>
  <c r="F260" i="20"/>
  <c r="I260" i="20"/>
  <c r="J260" i="20"/>
  <c r="L260" i="20"/>
  <c r="M260" i="20"/>
  <c r="O260" i="20"/>
  <c r="P260" i="20"/>
  <c r="E261" i="20"/>
  <c r="F261" i="20"/>
  <c r="I261" i="20"/>
  <c r="J261" i="20"/>
  <c r="L261" i="20"/>
  <c r="M261" i="20"/>
  <c r="O261" i="20"/>
  <c r="P261" i="20"/>
  <c r="E262" i="20"/>
  <c r="F262" i="20"/>
  <c r="I262" i="20"/>
  <c r="J262" i="20"/>
  <c r="L262" i="20"/>
  <c r="M262" i="20"/>
  <c r="O262" i="20"/>
  <c r="P262" i="20"/>
  <c r="E263" i="20"/>
  <c r="F263" i="20"/>
  <c r="I263" i="20"/>
  <c r="J263" i="20"/>
  <c r="L263" i="20"/>
  <c r="M263" i="20"/>
  <c r="O263" i="20"/>
  <c r="P263" i="20"/>
  <c r="E264" i="20"/>
  <c r="F264" i="20"/>
  <c r="I264" i="20"/>
  <c r="J264" i="20"/>
  <c r="L264" i="20"/>
  <c r="M264" i="20"/>
  <c r="O264" i="20"/>
  <c r="P264" i="20"/>
  <c r="E265" i="20"/>
  <c r="F265" i="20"/>
  <c r="I265" i="20"/>
  <c r="J265" i="20"/>
  <c r="L265" i="20"/>
  <c r="M265" i="20"/>
  <c r="O265" i="20"/>
  <c r="P265" i="20"/>
  <c r="E266" i="20"/>
  <c r="F266" i="20"/>
  <c r="I266" i="20"/>
  <c r="J266" i="20"/>
  <c r="L266" i="20"/>
  <c r="M266" i="20"/>
  <c r="O266" i="20"/>
  <c r="P266" i="20"/>
  <c r="E267" i="20"/>
  <c r="F267" i="20"/>
  <c r="I267" i="20"/>
  <c r="J267" i="20"/>
  <c r="L267" i="20"/>
  <c r="M267" i="20"/>
  <c r="O267" i="20"/>
  <c r="P267" i="20"/>
  <c r="E268" i="20"/>
  <c r="F268" i="20"/>
  <c r="I268" i="20"/>
  <c r="J268" i="20"/>
  <c r="L268" i="20"/>
  <c r="M268" i="20"/>
  <c r="O268" i="20"/>
  <c r="P268" i="20"/>
  <c r="E269" i="20"/>
  <c r="F269" i="20"/>
  <c r="I269" i="20"/>
  <c r="J269" i="20"/>
  <c r="L269" i="20"/>
  <c r="M269" i="20"/>
  <c r="O269" i="20"/>
  <c r="P269" i="20"/>
  <c r="E270" i="20"/>
  <c r="F270" i="20"/>
  <c r="I270" i="20"/>
  <c r="J270" i="20"/>
  <c r="L270" i="20"/>
  <c r="M270" i="20"/>
  <c r="O270" i="20"/>
  <c r="P270" i="20"/>
  <c r="E271" i="20"/>
  <c r="F271" i="20"/>
  <c r="I271" i="20"/>
  <c r="J271" i="20"/>
  <c r="L271" i="20"/>
  <c r="M271" i="20"/>
  <c r="O271" i="20"/>
  <c r="P271" i="20"/>
  <c r="E272" i="20"/>
  <c r="F272" i="20"/>
  <c r="I272" i="20"/>
  <c r="J272" i="20"/>
  <c r="L272" i="20"/>
  <c r="M272" i="20"/>
  <c r="O272" i="20"/>
  <c r="P272" i="20"/>
  <c r="E273" i="20"/>
  <c r="F273" i="20"/>
  <c r="I273" i="20"/>
  <c r="J273" i="20"/>
  <c r="L273" i="20"/>
  <c r="M273" i="20"/>
  <c r="O273" i="20"/>
  <c r="P273" i="20"/>
  <c r="E274" i="20"/>
  <c r="F274" i="20"/>
  <c r="I274" i="20"/>
  <c r="J274" i="20"/>
  <c r="L274" i="20"/>
  <c r="M274" i="20"/>
  <c r="O274" i="20"/>
  <c r="P274" i="20"/>
  <c r="E275" i="20"/>
  <c r="F275" i="20"/>
  <c r="I275" i="20"/>
  <c r="J275" i="20"/>
  <c r="L275" i="20"/>
  <c r="M275" i="20"/>
  <c r="O275" i="20"/>
  <c r="P275" i="20"/>
  <c r="E276" i="20"/>
  <c r="F276" i="20"/>
  <c r="I276" i="20"/>
  <c r="J276" i="20"/>
  <c r="L276" i="20"/>
  <c r="M276" i="20"/>
  <c r="O276" i="20"/>
  <c r="P276" i="20"/>
  <c r="E277" i="20"/>
  <c r="F277" i="20"/>
  <c r="I277" i="20"/>
  <c r="J277" i="20"/>
  <c r="L277" i="20"/>
  <c r="M277" i="20"/>
  <c r="O277" i="20"/>
  <c r="P277" i="20"/>
  <c r="E278" i="20"/>
  <c r="F278" i="20"/>
  <c r="I278" i="20"/>
  <c r="J278" i="20"/>
  <c r="L278" i="20"/>
  <c r="M278" i="20"/>
  <c r="O278" i="20"/>
  <c r="P278" i="20"/>
  <c r="E279" i="20"/>
  <c r="F279" i="20"/>
  <c r="I279" i="20"/>
  <c r="J279" i="20"/>
  <c r="L279" i="20"/>
  <c r="M279" i="20"/>
  <c r="O279" i="20"/>
  <c r="P279" i="20"/>
  <c r="E280" i="20"/>
  <c r="F280" i="20"/>
  <c r="I280" i="20"/>
  <c r="J280" i="20"/>
  <c r="L280" i="20"/>
  <c r="M280" i="20"/>
  <c r="O280" i="20"/>
  <c r="P280" i="20"/>
  <c r="E281" i="20"/>
  <c r="F281" i="20"/>
  <c r="I281" i="20"/>
  <c r="J281" i="20"/>
  <c r="L281" i="20"/>
  <c r="M281" i="20"/>
  <c r="O281" i="20"/>
  <c r="P281" i="20"/>
  <c r="E282" i="20"/>
  <c r="F282" i="20"/>
  <c r="I282" i="20"/>
  <c r="J282" i="20"/>
  <c r="L282" i="20"/>
  <c r="M282" i="20"/>
  <c r="O282" i="20"/>
  <c r="P282" i="20"/>
  <c r="E283" i="20"/>
  <c r="F283" i="20"/>
  <c r="I283" i="20"/>
  <c r="J283" i="20"/>
  <c r="L283" i="20"/>
  <c r="M283" i="20"/>
  <c r="O283" i="20"/>
  <c r="P283" i="20"/>
  <c r="E284" i="20"/>
  <c r="F284" i="20"/>
  <c r="I284" i="20"/>
  <c r="J284" i="20"/>
  <c r="L284" i="20"/>
  <c r="M284" i="20"/>
  <c r="O284" i="20"/>
  <c r="P284" i="20"/>
  <c r="E285" i="20"/>
  <c r="F285" i="20"/>
  <c r="I285" i="20"/>
  <c r="J285" i="20"/>
  <c r="L285" i="20"/>
  <c r="M285" i="20"/>
  <c r="O285" i="20"/>
  <c r="P285" i="20"/>
  <c r="E286" i="20"/>
  <c r="F286" i="20"/>
  <c r="I286" i="20"/>
  <c r="J286" i="20"/>
  <c r="L286" i="20"/>
  <c r="M286" i="20"/>
  <c r="O286" i="20"/>
  <c r="P286" i="20"/>
  <c r="E287" i="20"/>
  <c r="F287" i="20"/>
  <c r="I287" i="20"/>
  <c r="J287" i="20"/>
  <c r="L287" i="20"/>
  <c r="M287" i="20"/>
  <c r="O287" i="20"/>
  <c r="P287" i="20"/>
  <c r="E288" i="20"/>
  <c r="F288" i="20"/>
  <c r="I288" i="20"/>
  <c r="J288" i="20"/>
  <c r="L288" i="20"/>
  <c r="M288" i="20"/>
  <c r="O288" i="20"/>
  <c r="P288" i="20"/>
  <c r="E289" i="20"/>
  <c r="F289" i="20"/>
  <c r="I289" i="20"/>
  <c r="J289" i="20"/>
  <c r="L289" i="20"/>
  <c r="M289" i="20"/>
  <c r="O289" i="20"/>
  <c r="P289" i="20"/>
  <c r="E290" i="20"/>
  <c r="F290" i="20"/>
  <c r="I290" i="20"/>
  <c r="J290" i="20"/>
  <c r="L290" i="20"/>
  <c r="M290" i="20"/>
  <c r="O290" i="20"/>
  <c r="P290" i="20"/>
  <c r="E291" i="20"/>
  <c r="F291" i="20"/>
  <c r="I291" i="20"/>
  <c r="J291" i="20"/>
  <c r="L291" i="20"/>
  <c r="M291" i="20"/>
  <c r="O291" i="20"/>
  <c r="P291" i="20"/>
  <c r="E292" i="20"/>
  <c r="F292" i="20"/>
  <c r="I292" i="20"/>
  <c r="J292" i="20"/>
  <c r="L292" i="20"/>
  <c r="M292" i="20"/>
  <c r="O292" i="20"/>
  <c r="P292" i="20"/>
  <c r="E293" i="20"/>
  <c r="F293" i="20"/>
  <c r="I293" i="20"/>
  <c r="J293" i="20"/>
  <c r="L293" i="20"/>
  <c r="M293" i="20"/>
  <c r="O293" i="20"/>
  <c r="P293" i="20"/>
  <c r="E294" i="20"/>
  <c r="F294" i="20"/>
  <c r="I294" i="20"/>
  <c r="J294" i="20"/>
  <c r="L294" i="20"/>
  <c r="M294" i="20"/>
  <c r="O294" i="20"/>
  <c r="P294" i="20"/>
  <c r="E295" i="20"/>
  <c r="F295" i="20"/>
  <c r="I295" i="20"/>
  <c r="J295" i="20"/>
  <c r="L295" i="20"/>
  <c r="M295" i="20"/>
  <c r="O295" i="20"/>
  <c r="P295" i="20"/>
  <c r="E296" i="20"/>
  <c r="F296" i="20"/>
  <c r="I296" i="20"/>
  <c r="J296" i="20"/>
  <c r="L296" i="20"/>
  <c r="M296" i="20"/>
  <c r="O296" i="20"/>
  <c r="P296" i="20"/>
  <c r="E297" i="20"/>
  <c r="F297" i="20"/>
  <c r="I297" i="20"/>
  <c r="J297" i="20"/>
  <c r="L297" i="20"/>
  <c r="M297" i="20"/>
  <c r="O297" i="20"/>
  <c r="P297" i="20"/>
  <c r="E298" i="20"/>
  <c r="F298" i="20"/>
  <c r="I298" i="20"/>
  <c r="J298" i="20"/>
  <c r="L298" i="20"/>
  <c r="M298" i="20"/>
  <c r="O298" i="20"/>
  <c r="P298" i="20"/>
  <c r="E299" i="20"/>
  <c r="F299" i="20"/>
  <c r="I299" i="20"/>
  <c r="J299" i="20"/>
  <c r="L299" i="20"/>
  <c r="M299" i="20"/>
  <c r="O299" i="20"/>
  <c r="P299" i="20"/>
  <c r="E300" i="20"/>
  <c r="F300" i="20"/>
  <c r="I300" i="20"/>
  <c r="J300" i="20"/>
  <c r="L300" i="20"/>
  <c r="M300" i="20"/>
  <c r="O300" i="20"/>
  <c r="P300" i="20"/>
  <c r="E301" i="20"/>
  <c r="F301" i="20"/>
  <c r="I301" i="20"/>
  <c r="J301" i="20"/>
  <c r="L301" i="20"/>
  <c r="M301" i="20"/>
  <c r="O301" i="20"/>
  <c r="P301" i="20"/>
  <c r="E302" i="20"/>
  <c r="F302" i="20"/>
  <c r="I302" i="20"/>
  <c r="J302" i="20"/>
  <c r="L302" i="20"/>
  <c r="M302" i="20"/>
  <c r="O302" i="20"/>
  <c r="P302" i="20"/>
  <c r="E303" i="20"/>
  <c r="F303" i="20"/>
  <c r="I303" i="20"/>
  <c r="J303" i="20"/>
  <c r="L303" i="20"/>
  <c r="M303" i="20"/>
  <c r="O303" i="20"/>
  <c r="P303" i="20"/>
  <c r="E304" i="20"/>
  <c r="F304" i="20"/>
  <c r="I304" i="20"/>
  <c r="J304" i="20"/>
  <c r="L304" i="20"/>
  <c r="M304" i="20"/>
  <c r="O304" i="20"/>
  <c r="P304" i="20"/>
  <c r="E305" i="20"/>
  <c r="F305" i="20"/>
  <c r="I305" i="20"/>
  <c r="J305" i="20"/>
  <c r="L305" i="20"/>
  <c r="M305" i="20"/>
  <c r="O305" i="20"/>
  <c r="P305" i="20"/>
  <c r="E306" i="20"/>
  <c r="F306" i="20"/>
  <c r="I306" i="20"/>
  <c r="J306" i="20"/>
  <c r="L306" i="20"/>
  <c r="M306" i="20"/>
  <c r="O306" i="20"/>
  <c r="P306" i="20"/>
  <c r="E307" i="20"/>
  <c r="F307" i="20"/>
  <c r="I307" i="20"/>
  <c r="J307" i="20"/>
  <c r="L307" i="20"/>
  <c r="M307" i="20"/>
  <c r="O307" i="20"/>
  <c r="P307" i="20"/>
  <c r="E308" i="20"/>
  <c r="F308" i="20"/>
  <c r="I308" i="20"/>
  <c r="J308" i="20"/>
  <c r="L308" i="20"/>
  <c r="M308" i="20"/>
  <c r="O308" i="20"/>
  <c r="P308" i="20"/>
  <c r="E309" i="20"/>
  <c r="F309" i="20"/>
  <c r="I309" i="20"/>
  <c r="J309" i="20"/>
  <c r="L309" i="20"/>
  <c r="M309" i="20"/>
  <c r="O309" i="20"/>
  <c r="P309" i="20"/>
  <c r="E310" i="20"/>
  <c r="F310" i="20"/>
  <c r="I310" i="20"/>
  <c r="J310" i="20"/>
  <c r="L310" i="20"/>
  <c r="M310" i="20"/>
  <c r="O310" i="20"/>
  <c r="P310" i="20"/>
  <c r="E311" i="20"/>
  <c r="F311" i="20"/>
  <c r="I311" i="20"/>
  <c r="J311" i="20"/>
  <c r="L311" i="20"/>
  <c r="M311" i="20"/>
  <c r="O311" i="20"/>
  <c r="P311" i="20"/>
  <c r="E312" i="20"/>
  <c r="F312" i="20"/>
  <c r="I312" i="20"/>
  <c r="J312" i="20"/>
  <c r="L312" i="20"/>
  <c r="M312" i="20"/>
  <c r="O312" i="20"/>
  <c r="P312" i="20"/>
  <c r="E313" i="20"/>
  <c r="F313" i="20"/>
  <c r="I313" i="20"/>
  <c r="J313" i="20"/>
  <c r="L313" i="20"/>
  <c r="M313" i="20"/>
  <c r="O313" i="20"/>
  <c r="P313" i="20"/>
  <c r="E314" i="20"/>
  <c r="F314" i="20"/>
  <c r="I314" i="20"/>
  <c r="J314" i="20"/>
  <c r="L314" i="20"/>
  <c r="M314" i="20"/>
  <c r="O314" i="20"/>
  <c r="P314" i="20"/>
  <c r="E315" i="20"/>
  <c r="F315" i="20"/>
  <c r="I315" i="20"/>
  <c r="J315" i="20"/>
  <c r="L315" i="20"/>
  <c r="M315" i="20"/>
  <c r="O315" i="20"/>
  <c r="P315" i="20"/>
  <c r="E316" i="20"/>
  <c r="F316" i="20"/>
  <c r="I316" i="20"/>
  <c r="J316" i="20"/>
  <c r="L316" i="20"/>
  <c r="M316" i="20"/>
  <c r="O316" i="20"/>
  <c r="P316" i="20"/>
  <c r="G25" i="10"/>
  <c r="G90" i="10" s="1"/>
  <c r="E40" i="15"/>
  <c r="E85" i="15"/>
  <c r="E130" i="15"/>
  <c r="F223" i="15"/>
  <c r="H223" i="15"/>
  <c r="J223" i="15"/>
  <c r="K223" i="15"/>
  <c r="M223" i="15"/>
  <c r="N223" i="15"/>
  <c r="P223" i="15"/>
  <c r="Q223" i="15"/>
  <c r="F224" i="15"/>
  <c r="H224" i="15"/>
  <c r="J224" i="15"/>
  <c r="K224" i="15"/>
  <c r="M224" i="15"/>
  <c r="N224" i="15"/>
  <c r="P224" i="15"/>
  <c r="Q224" i="15"/>
  <c r="F225" i="15"/>
  <c r="H225" i="15"/>
  <c r="J225" i="15"/>
  <c r="K225" i="15"/>
  <c r="M225" i="15"/>
  <c r="N225" i="15"/>
  <c r="P225" i="15"/>
  <c r="Q225" i="15"/>
  <c r="F226" i="15"/>
  <c r="H226" i="15"/>
  <c r="J226" i="15"/>
  <c r="K226" i="15"/>
  <c r="M226" i="15"/>
  <c r="N226" i="15"/>
  <c r="P226" i="15"/>
  <c r="Q226" i="15"/>
  <c r="F227" i="15"/>
  <c r="H227" i="15"/>
  <c r="J227" i="15"/>
  <c r="K227" i="15"/>
  <c r="M227" i="15"/>
  <c r="N227" i="15"/>
  <c r="P227" i="15"/>
  <c r="Q227" i="15"/>
  <c r="F228" i="15"/>
  <c r="H228" i="15"/>
  <c r="J228" i="15"/>
  <c r="K228" i="15"/>
  <c r="M228" i="15"/>
  <c r="N228" i="15"/>
  <c r="P228" i="15"/>
  <c r="Q228" i="15"/>
  <c r="F229" i="15"/>
  <c r="H229" i="15"/>
  <c r="J229" i="15"/>
  <c r="K229" i="15"/>
  <c r="M229" i="15"/>
  <c r="N229" i="15"/>
  <c r="P229" i="15"/>
  <c r="Q229" i="15"/>
  <c r="F230" i="15"/>
  <c r="H230" i="15"/>
  <c r="J230" i="15"/>
  <c r="K230" i="15"/>
  <c r="M230" i="15"/>
  <c r="N230" i="15"/>
  <c r="P230" i="15"/>
  <c r="Q230" i="15"/>
  <c r="F231" i="15"/>
  <c r="H231" i="15"/>
  <c r="J231" i="15"/>
  <c r="K231" i="15"/>
  <c r="M231" i="15"/>
  <c r="N231" i="15"/>
  <c r="P231" i="15"/>
  <c r="Q231" i="15"/>
  <c r="F232" i="15"/>
  <c r="H232" i="15"/>
  <c r="J232" i="15"/>
  <c r="K232" i="15"/>
  <c r="M232" i="15"/>
  <c r="N232" i="15"/>
  <c r="P232" i="15"/>
  <c r="Q232" i="15"/>
  <c r="F233" i="15"/>
  <c r="H233" i="15"/>
  <c r="J233" i="15"/>
  <c r="K233" i="15"/>
  <c r="M233" i="15"/>
  <c r="N233" i="15"/>
  <c r="P233" i="15"/>
  <c r="Q233" i="15"/>
  <c r="F234" i="15"/>
  <c r="H234" i="15"/>
  <c r="J234" i="15"/>
  <c r="K234" i="15"/>
  <c r="M234" i="15"/>
  <c r="N234" i="15"/>
  <c r="P234" i="15"/>
  <c r="Q234" i="15"/>
  <c r="F235" i="15"/>
  <c r="H235" i="15"/>
  <c r="J235" i="15"/>
  <c r="K235" i="15"/>
  <c r="M235" i="15"/>
  <c r="N235" i="15"/>
  <c r="P235" i="15"/>
  <c r="Q235" i="15"/>
  <c r="F236" i="15"/>
  <c r="H236" i="15"/>
  <c r="J236" i="15"/>
  <c r="K236" i="15"/>
  <c r="M236" i="15"/>
  <c r="N236" i="15"/>
  <c r="P236" i="15"/>
  <c r="Q236" i="15"/>
  <c r="F237" i="15"/>
  <c r="H237" i="15"/>
  <c r="J237" i="15"/>
  <c r="K237" i="15"/>
  <c r="M237" i="15"/>
  <c r="N237" i="15"/>
  <c r="P237" i="15"/>
  <c r="Q237" i="15"/>
  <c r="F238" i="15"/>
  <c r="H238" i="15"/>
  <c r="J238" i="15"/>
  <c r="K238" i="15"/>
  <c r="M238" i="15"/>
  <c r="N238" i="15"/>
  <c r="P238" i="15"/>
  <c r="Q238" i="15"/>
  <c r="F239" i="15"/>
  <c r="H239" i="15"/>
  <c r="J239" i="15"/>
  <c r="K239" i="15"/>
  <c r="M239" i="15"/>
  <c r="N239" i="15"/>
  <c r="P239" i="15"/>
  <c r="Q239" i="15"/>
  <c r="F240" i="15"/>
  <c r="H240" i="15"/>
  <c r="J240" i="15"/>
  <c r="K240" i="15"/>
  <c r="M240" i="15"/>
  <c r="N240" i="15"/>
  <c r="P240" i="15"/>
  <c r="Q240" i="15"/>
  <c r="F241" i="15"/>
  <c r="H241" i="15"/>
  <c r="J241" i="15"/>
  <c r="K241" i="15"/>
  <c r="M241" i="15"/>
  <c r="N241" i="15"/>
  <c r="P241" i="15"/>
  <c r="Q241" i="15"/>
  <c r="F242" i="15"/>
  <c r="H242" i="15"/>
  <c r="J242" i="15"/>
  <c r="K242" i="15"/>
  <c r="M242" i="15"/>
  <c r="N242" i="15"/>
  <c r="P242" i="15"/>
  <c r="Q242" i="15"/>
  <c r="F243" i="15"/>
  <c r="H243" i="15"/>
  <c r="J243" i="15"/>
  <c r="K243" i="15"/>
  <c r="M243" i="15"/>
  <c r="N243" i="15"/>
  <c r="P243" i="15"/>
  <c r="Q243" i="15"/>
  <c r="F244" i="15"/>
  <c r="H244" i="15"/>
  <c r="J244" i="15"/>
  <c r="K244" i="15"/>
  <c r="M244" i="15"/>
  <c r="N244" i="15"/>
  <c r="P244" i="15"/>
  <c r="Q244" i="15"/>
  <c r="F245" i="15"/>
  <c r="H245" i="15"/>
  <c r="J245" i="15"/>
  <c r="K245" i="15"/>
  <c r="M245" i="15"/>
  <c r="N245" i="15"/>
  <c r="P245" i="15"/>
  <c r="Q245" i="15"/>
  <c r="F246" i="15"/>
  <c r="H246" i="15"/>
  <c r="J246" i="15"/>
  <c r="K246" i="15"/>
  <c r="M246" i="15"/>
  <c r="N246" i="15"/>
  <c r="P246" i="15"/>
  <c r="Q246" i="15"/>
  <c r="F247" i="15"/>
  <c r="H247" i="15"/>
  <c r="J247" i="15"/>
  <c r="K247" i="15"/>
  <c r="M247" i="15"/>
  <c r="N247" i="15"/>
  <c r="P247" i="15"/>
  <c r="Q247" i="15"/>
  <c r="F248" i="15"/>
  <c r="H248" i="15"/>
  <c r="J248" i="15"/>
  <c r="K248" i="15"/>
  <c r="M248" i="15"/>
  <c r="N248" i="15"/>
  <c r="P248" i="15"/>
  <c r="Q248" i="15"/>
  <c r="F249" i="15"/>
  <c r="H249" i="15"/>
  <c r="J249" i="15"/>
  <c r="K249" i="15"/>
  <c r="M249" i="15"/>
  <c r="N249" i="15"/>
  <c r="P249" i="15"/>
  <c r="Q249" i="15"/>
  <c r="F250" i="15"/>
  <c r="H250" i="15"/>
  <c r="J250" i="15"/>
  <c r="K250" i="15"/>
  <c r="M250" i="15"/>
  <c r="N250" i="15"/>
  <c r="P250" i="15"/>
  <c r="Q250" i="15"/>
  <c r="F251" i="15"/>
  <c r="H251" i="15"/>
  <c r="J251" i="15"/>
  <c r="K251" i="15"/>
  <c r="M251" i="15"/>
  <c r="N251" i="15"/>
  <c r="P251" i="15"/>
  <c r="Q251" i="15"/>
  <c r="F252" i="15"/>
  <c r="H252" i="15"/>
  <c r="J252" i="15"/>
  <c r="K252" i="15"/>
  <c r="M252" i="15"/>
  <c r="N252" i="15"/>
  <c r="P252" i="15"/>
  <c r="Q252" i="15"/>
  <c r="F253" i="15"/>
  <c r="H253" i="15"/>
  <c r="J253" i="15"/>
  <c r="K253" i="15"/>
  <c r="M253" i="15"/>
  <c r="N253" i="15"/>
  <c r="P253" i="15"/>
  <c r="Q253" i="15"/>
  <c r="F254" i="15"/>
  <c r="H254" i="15"/>
  <c r="J254" i="15"/>
  <c r="K254" i="15"/>
  <c r="M254" i="15"/>
  <c r="N254" i="15"/>
  <c r="P254" i="15"/>
  <c r="Q254" i="15"/>
  <c r="F255" i="15"/>
  <c r="H255" i="15"/>
  <c r="J255" i="15"/>
  <c r="K255" i="15"/>
  <c r="M255" i="15"/>
  <c r="N255" i="15"/>
  <c r="P255" i="15"/>
  <c r="Q255" i="15"/>
  <c r="F256" i="15"/>
  <c r="H256" i="15"/>
  <c r="J256" i="15"/>
  <c r="K256" i="15"/>
  <c r="M256" i="15"/>
  <c r="N256" i="15"/>
  <c r="P256" i="15"/>
  <c r="Q256" i="15"/>
  <c r="F257" i="15"/>
  <c r="H257" i="15"/>
  <c r="J257" i="15"/>
  <c r="K257" i="15"/>
  <c r="M257" i="15"/>
  <c r="N257" i="15"/>
  <c r="P257" i="15"/>
  <c r="Q257" i="15"/>
  <c r="F258" i="15"/>
  <c r="H258" i="15"/>
  <c r="J258" i="15"/>
  <c r="K258" i="15"/>
  <c r="M258" i="15"/>
  <c r="N258" i="15"/>
  <c r="P258" i="15"/>
  <c r="Q258" i="15"/>
  <c r="F259" i="15"/>
  <c r="H259" i="15"/>
  <c r="J259" i="15"/>
  <c r="K259" i="15"/>
  <c r="M259" i="15"/>
  <c r="N259" i="15"/>
  <c r="P259" i="15"/>
  <c r="Q259" i="15"/>
  <c r="F260" i="15"/>
  <c r="H260" i="15"/>
  <c r="J260" i="15"/>
  <c r="K260" i="15"/>
  <c r="M260" i="15"/>
  <c r="N260" i="15"/>
  <c r="P260" i="15"/>
  <c r="Q260" i="15"/>
  <c r="F261" i="15"/>
  <c r="H261" i="15"/>
  <c r="J261" i="15"/>
  <c r="K261" i="15"/>
  <c r="M261" i="15"/>
  <c r="N261" i="15"/>
  <c r="P261" i="15"/>
  <c r="Q261" i="15"/>
  <c r="F262" i="15"/>
  <c r="H262" i="15"/>
  <c r="J262" i="15"/>
  <c r="K262" i="15"/>
  <c r="M262" i="15"/>
  <c r="N262" i="15"/>
  <c r="P262" i="15"/>
  <c r="Q262" i="15"/>
  <c r="F263" i="15"/>
  <c r="H263" i="15"/>
  <c r="J263" i="15"/>
  <c r="K263" i="15"/>
  <c r="M263" i="15"/>
  <c r="N263" i="15"/>
  <c r="P263" i="15"/>
  <c r="Q263" i="15"/>
  <c r="F264" i="15"/>
  <c r="H264" i="15"/>
  <c r="J264" i="15"/>
  <c r="K264" i="15"/>
  <c r="M264" i="15"/>
  <c r="N264" i="15"/>
  <c r="P264" i="15"/>
  <c r="Q264" i="15"/>
  <c r="F265" i="15"/>
  <c r="H265" i="15"/>
  <c r="J265" i="15"/>
  <c r="K265" i="15"/>
  <c r="M265" i="15"/>
  <c r="N265" i="15"/>
  <c r="P265" i="15"/>
  <c r="Q265" i="15"/>
  <c r="F266" i="15"/>
  <c r="H266" i="15"/>
  <c r="J266" i="15"/>
  <c r="K266" i="15"/>
  <c r="M266" i="15"/>
  <c r="N266" i="15"/>
  <c r="P266" i="15"/>
  <c r="Q266" i="15"/>
  <c r="F267" i="15"/>
  <c r="H267" i="15"/>
  <c r="J267" i="15"/>
  <c r="K267" i="15"/>
  <c r="M267" i="15"/>
  <c r="N267" i="15"/>
  <c r="P267" i="15"/>
  <c r="Q267" i="15"/>
  <c r="F268" i="15"/>
  <c r="H268" i="15"/>
  <c r="J268" i="15"/>
  <c r="K268" i="15"/>
  <c r="M268" i="15"/>
  <c r="N268" i="15"/>
  <c r="P268" i="15"/>
  <c r="Q268" i="15"/>
  <c r="F269" i="15"/>
  <c r="H269" i="15"/>
  <c r="J269" i="15"/>
  <c r="K269" i="15"/>
  <c r="M269" i="15"/>
  <c r="N269" i="15"/>
  <c r="P269" i="15"/>
  <c r="Q269" i="15"/>
  <c r="F270" i="15"/>
  <c r="H270" i="15"/>
  <c r="J270" i="15"/>
  <c r="K270" i="15"/>
  <c r="M270" i="15"/>
  <c r="N270" i="15"/>
  <c r="P270" i="15"/>
  <c r="Q270" i="15"/>
  <c r="F271" i="15"/>
  <c r="H271" i="15"/>
  <c r="J271" i="15"/>
  <c r="K271" i="15"/>
  <c r="M271" i="15"/>
  <c r="N271" i="15"/>
  <c r="P271" i="15"/>
  <c r="Q271" i="15"/>
  <c r="F272" i="15"/>
  <c r="H272" i="15"/>
  <c r="J272" i="15"/>
  <c r="K272" i="15"/>
  <c r="M272" i="15"/>
  <c r="N272" i="15"/>
  <c r="P272" i="15"/>
  <c r="Q272" i="15"/>
  <c r="F273" i="15"/>
  <c r="H273" i="15"/>
  <c r="J273" i="15"/>
  <c r="K273" i="15"/>
  <c r="M273" i="15"/>
  <c r="N273" i="15"/>
  <c r="P273" i="15"/>
  <c r="Q273" i="15"/>
  <c r="F274" i="15"/>
  <c r="H274" i="15"/>
  <c r="J274" i="15"/>
  <c r="K274" i="15"/>
  <c r="M274" i="15"/>
  <c r="N274" i="15"/>
  <c r="P274" i="15"/>
  <c r="Q274" i="15"/>
  <c r="F275" i="15"/>
  <c r="H275" i="15"/>
  <c r="J275" i="15"/>
  <c r="K275" i="15"/>
  <c r="M275" i="15"/>
  <c r="N275" i="15"/>
  <c r="P275" i="15"/>
  <c r="Q275" i="15"/>
  <c r="F276" i="15"/>
  <c r="H276" i="15"/>
  <c r="J276" i="15"/>
  <c r="K276" i="15"/>
  <c r="M276" i="15"/>
  <c r="N276" i="15"/>
  <c r="P276" i="15"/>
  <c r="Q276" i="15"/>
  <c r="F277" i="15"/>
  <c r="H277" i="15"/>
  <c r="J277" i="15"/>
  <c r="K277" i="15"/>
  <c r="M277" i="15"/>
  <c r="N277" i="15"/>
  <c r="P277" i="15"/>
  <c r="Q277" i="15"/>
  <c r="F278" i="15"/>
  <c r="H278" i="15"/>
  <c r="J278" i="15"/>
  <c r="K278" i="15"/>
  <c r="M278" i="15"/>
  <c r="N278" i="15"/>
  <c r="P278" i="15"/>
  <c r="Q278" i="15"/>
  <c r="F279" i="15"/>
  <c r="H279" i="15"/>
  <c r="J279" i="15"/>
  <c r="K279" i="15"/>
  <c r="M279" i="15"/>
  <c r="N279" i="15"/>
  <c r="P279" i="15"/>
  <c r="Q279" i="15"/>
  <c r="F280" i="15"/>
  <c r="H280" i="15"/>
  <c r="J280" i="15"/>
  <c r="K280" i="15"/>
  <c r="M280" i="15"/>
  <c r="N280" i="15"/>
  <c r="P280" i="15"/>
  <c r="Q280" i="15"/>
  <c r="F281" i="15"/>
  <c r="H281" i="15"/>
  <c r="J281" i="15"/>
  <c r="K281" i="15"/>
  <c r="M281" i="15"/>
  <c r="N281" i="15"/>
  <c r="P281" i="15"/>
  <c r="Q281" i="15"/>
  <c r="F282" i="15"/>
  <c r="H282" i="15"/>
  <c r="J282" i="15"/>
  <c r="K282" i="15"/>
  <c r="M282" i="15"/>
  <c r="N282" i="15"/>
  <c r="P282" i="15"/>
  <c r="Q282" i="15"/>
  <c r="F283" i="15"/>
  <c r="H283" i="15"/>
  <c r="J283" i="15"/>
  <c r="K283" i="15"/>
  <c r="M283" i="15"/>
  <c r="N283" i="15"/>
  <c r="P283" i="15"/>
  <c r="Q283" i="15"/>
  <c r="F284" i="15"/>
  <c r="H284" i="15"/>
  <c r="J284" i="15"/>
  <c r="K284" i="15"/>
  <c r="M284" i="15"/>
  <c r="N284" i="15"/>
  <c r="P284" i="15"/>
  <c r="Q284" i="15"/>
  <c r="F285" i="15"/>
  <c r="H285" i="15"/>
  <c r="J285" i="15"/>
  <c r="K285" i="15"/>
  <c r="M285" i="15"/>
  <c r="N285" i="15"/>
  <c r="P285" i="15"/>
  <c r="Q285" i="15"/>
  <c r="F286" i="15"/>
  <c r="H286" i="15"/>
  <c r="J286" i="15"/>
  <c r="K286" i="15"/>
  <c r="M286" i="15"/>
  <c r="N286" i="15"/>
  <c r="P286" i="15"/>
  <c r="Q286" i="15"/>
  <c r="F287" i="15"/>
  <c r="H287" i="15"/>
  <c r="J287" i="15"/>
  <c r="K287" i="15"/>
  <c r="M287" i="15"/>
  <c r="N287" i="15"/>
  <c r="P287" i="15"/>
  <c r="Q287" i="15"/>
  <c r="F288" i="15"/>
  <c r="H288" i="15"/>
  <c r="J288" i="15"/>
  <c r="K288" i="15"/>
  <c r="M288" i="15"/>
  <c r="N288" i="15"/>
  <c r="P288" i="15"/>
  <c r="Q288" i="15"/>
  <c r="F289" i="15"/>
  <c r="H289" i="15"/>
  <c r="J289" i="15"/>
  <c r="K289" i="15"/>
  <c r="M289" i="15"/>
  <c r="N289" i="15"/>
  <c r="P289" i="15"/>
  <c r="Q289" i="15"/>
  <c r="F290" i="15"/>
  <c r="H290" i="15"/>
  <c r="J290" i="15"/>
  <c r="K290" i="15"/>
  <c r="M290" i="15"/>
  <c r="N290" i="15"/>
  <c r="P290" i="15"/>
  <c r="Q290" i="15"/>
  <c r="F291" i="15"/>
  <c r="H291" i="15"/>
  <c r="J291" i="15"/>
  <c r="K291" i="15"/>
  <c r="M291" i="15"/>
  <c r="N291" i="15"/>
  <c r="P291" i="15"/>
  <c r="Q291" i="15"/>
  <c r="F292" i="15"/>
  <c r="H292" i="15"/>
  <c r="J292" i="15"/>
  <c r="K292" i="15"/>
  <c r="M292" i="15"/>
  <c r="N292" i="15"/>
  <c r="P292" i="15"/>
  <c r="Q292" i="15"/>
  <c r="F293" i="15"/>
  <c r="H293" i="15"/>
  <c r="J293" i="15"/>
  <c r="K293" i="15"/>
  <c r="M293" i="15"/>
  <c r="N293" i="15"/>
  <c r="P293" i="15"/>
  <c r="Q293" i="15"/>
  <c r="F294" i="15"/>
  <c r="H294" i="15"/>
  <c r="J294" i="15"/>
  <c r="K294" i="15"/>
  <c r="M294" i="15"/>
  <c r="N294" i="15"/>
  <c r="P294" i="15"/>
  <c r="Q294" i="15"/>
  <c r="F295" i="15"/>
  <c r="H295" i="15"/>
  <c r="J295" i="15"/>
  <c r="K295" i="15"/>
  <c r="M295" i="15"/>
  <c r="N295" i="15"/>
  <c r="P295" i="15"/>
  <c r="Q295" i="15"/>
  <c r="F296" i="15"/>
  <c r="H296" i="15"/>
  <c r="J296" i="15"/>
  <c r="K296" i="15"/>
  <c r="M296" i="15"/>
  <c r="N296" i="15"/>
  <c r="P296" i="15"/>
  <c r="Q296" i="15"/>
  <c r="F297" i="15"/>
  <c r="H297" i="15"/>
  <c r="J297" i="15"/>
  <c r="K297" i="15"/>
  <c r="M297" i="15"/>
  <c r="N297" i="15"/>
  <c r="P297" i="15"/>
  <c r="Q297" i="15"/>
  <c r="F298" i="15"/>
  <c r="H298" i="15"/>
  <c r="J298" i="15"/>
  <c r="K298" i="15"/>
  <c r="M298" i="15"/>
  <c r="N298" i="15"/>
  <c r="P298" i="15"/>
  <c r="Q298" i="15"/>
  <c r="F299" i="15"/>
  <c r="H299" i="15"/>
  <c r="J299" i="15"/>
  <c r="K299" i="15"/>
  <c r="M299" i="15"/>
  <c r="N299" i="15"/>
  <c r="P299" i="15"/>
  <c r="Q299" i="15"/>
  <c r="F300" i="15"/>
  <c r="H300" i="15"/>
  <c r="J300" i="15"/>
  <c r="K300" i="15"/>
  <c r="M300" i="15"/>
  <c r="N300" i="15"/>
  <c r="P300" i="15"/>
  <c r="Q300" i="15"/>
  <c r="F301" i="15"/>
  <c r="H301" i="15"/>
  <c r="J301" i="15"/>
  <c r="K301" i="15"/>
  <c r="M301" i="15"/>
  <c r="N301" i="15"/>
  <c r="P301" i="15"/>
  <c r="Q301" i="15"/>
  <c r="F302" i="15"/>
  <c r="H302" i="15"/>
  <c r="J302" i="15"/>
  <c r="K302" i="15"/>
  <c r="M302" i="15"/>
  <c r="N302" i="15"/>
  <c r="P302" i="15"/>
  <c r="Q302" i="15"/>
  <c r="F303" i="15"/>
  <c r="H303" i="15"/>
  <c r="J303" i="15"/>
  <c r="K303" i="15"/>
  <c r="M303" i="15"/>
  <c r="N303" i="15"/>
  <c r="P303" i="15"/>
  <c r="Q303" i="15"/>
  <c r="F304" i="15"/>
  <c r="H304" i="15"/>
  <c r="J304" i="15"/>
  <c r="K304" i="15"/>
  <c r="M304" i="15"/>
  <c r="N304" i="15"/>
  <c r="P304" i="15"/>
  <c r="Q304" i="15"/>
  <c r="F305" i="15"/>
  <c r="H305" i="15"/>
  <c r="J305" i="15"/>
  <c r="K305" i="15"/>
  <c r="M305" i="15"/>
  <c r="N305" i="15"/>
  <c r="P305" i="15"/>
  <c r="Q305" i="15"/>
  <c r="F306" i="15"/>
  <c r="H306" i="15"/>
  <c r="J306" i="15"/>
  <c r="K306" i="15"/>
  <c r="M306" i="15"/>
  <c r="N306" i="15"/>
  <c r="P306" i="15"/>
  <c r="Q306" i="15"/>
  <c r="F307" i="15"/>
  <c r="H307" i="15"/>
  <c r="J307" i="15"/>
  <c r="K307" i="15"/>
  <c r="M307" i="15"/>
  <c r="N307" i="15"/>
  <c r="P307" i="15"/>
  <c r="Q307" i="15"/>
  <c r="F308" i="15"/>
  <c r="H308" i="15"/>
  <c r="J308" i="15"/>
  <c r="K308" i="15"/>
  <c r="M308" i="15"/>
  <c r="N308" i="15"/>
  <c r="P308" i="15"/>
  <c r="Q308" i="15"/>
  <c r="F309" i="15"/>
  <c r="H309" i="15"/>
  <c r="J309" i="15"/>
  <c r="K309" i="15"/>
  <c r="M309" i="15"/>
  <c r="N309" i="15"/>
  <c r="P309" i="15"/>
  <c r="Q309" i="15"/>
  <c r="F310" i="15"/>
  <c r="H310" i="15"/>
  <c r="J310" i="15"/>
  <c r="K310" i="15"/>
  <c r="M310" i="15"/>
  <c r="N310" i="15"/>
  <c r="P310" i="15"/>
  <c r="Q310" i="15"/>
  <c r="F311" i="15"/>
  <c r="H311" i="15"/>
  <c r="J311" i="15"/>
  <c r="K311" i="15"/>
  <c r="M311" i="15"/>
  <c r="N311" i="15"/>
  <c r="P311" i="15"/>
  <c r="Q311" i="15"/>
  <c r="F228" i="13"/>
  <c r="H228" i="13"/>
  <c r="J228" i="13"/>
  <c r="K228" i="13"/>
  <c r="M228" i="13"/>
  <c r="N228" i="13"/>
  <c r="P228" i="13"/>
  <c r="Q228" i="13"/>
  <c r="F229" i="13"/>
  <c r="H229" i="13"/>
  <c r="J229" i="13"/>
  <c r="K229" i="13"/>
  <c r="M229" i="13"/>
  <c r="N229" i="13"/>
  <c r="P229" i="13"/>
  <c r="Q229" i="13"/>
  <c r="F230" i="13"/>
  <c r="H230" i="13"/>
  <c r="J230" i="13"/>
  <c r="K230" i="13"/>
  <c r="M230" i="13"/>
  <c r="N230" i="13"/>
  <c r="P230" i="13"/>
  <c r="Q230" i="13"/>
  <c r="F231" i="13"/>
  <c r="H231" i="13"/>
  <c r="J231" i="13"/>
  <c r="K231" i="13"/>
  <c r="M231" i="13"/>
  <c r="N231" i="13"/>
  <c r="P231" i="13"/>
  <c r="Q231" i="13"/>
  <c r="F232" i="13"/>
  <c r="H232" i="13"/>
  <c r="J232" i="13"/>
  <c r="K232" i="13"/>
  <c r="M232" i="13"/>
  <c r="N232" i="13"/>
  <c r="P232" i="13"/>
  <c r="Q232" i="13"/>
  <c r="F233" i="13"/>
  <c r="H233" i="13"/>
  <c r="J233" i="13"/>
  <c r="K233" i="13"/>
  <c r="M233" i="13"/>
  <c r="N233" i="13"/>
  <c r="P233" i="13"/>
  <c r="Q233" i="13"/>
  <c r="F234" i="13"/>
  <c r="H234" i="13"/>
  <c r="J234" i="13"/>
  <c r="K234" i="13"/>
  <c r="M234" i="13"/>
  <c r="N234" i="13"/>
  <c r="P234" i="13"/>
  <c r="Q234" i="13"/>
  <c r="F235" i="13"/>
  <c r="H235" i="13"/>
  <c r="J235" i="13"/>
  <c r="K235" i="13"/>
  <c r="M235" i="13"/>
  <c r="N235" i="13"/>
  <c r="P235" i="13"/>
  <c r="Q235" i="13"/>
  <c r="F236" i="13"/>
  <c r="H236" i="13"/>
  <c r="J236" i="13"/>
  <c r="K236" i="13"/>
  <c r="M236" i="13"/>
  <c r="N236" i="13"/>
  <c r="P236" i="13"/>
  <c r="Q236" i="13"/>
  <c r="F237" i="13"/>
  <c r="H237" i="13"/>
  <c r="J237" i="13"/>
  <c r="K237" i="13"/>
  <c r="M237" i="13"/>
  <c r="N237" i="13"/>
  <c r="P237" i="13"/>
  <c r="Q237" i="13"/>
  <c r="F238" i="13"/>
  <c r="H238" i="13"/>
  <c r="J238" i="13"/>
  <c r="K238" i="13"/>
  <c r="M238" i="13"/>
  <c r="N238" i="13"/>
  <c r="P238" i="13"/>
  <c r="Q238" i="13"/>
  <c r="F239" i="13"/>
  <c r="H239" i="13"/>
  <c r="J239" i="13"/>
  <c r="K239" i="13"/>
  <c r="M239" i="13"/>
  <c r="N239" i="13"/>
  <c r="P239" i="13"/>
  <c r="Q239" i="13"/>
  <c r="F240" i="13"/>
  <c r="H240" i="13"/>
  <c r="J240" i="13"/>
  <c r="K240" i="13"/>
  <c r="M240" i="13"/>
  <c r="N240" i="13"/>
  <c r="P240" i="13"/>
  <c r="Q240" i="13"/>
  <c r="F241" i="13"/>
  <c r="H241" i="13"/>
  <c r="J241" i="13"/>
  <c r="K241" i="13"/>
  <c r="M241" i="13"/>
  <c r="N241" i="13"/>
  <c r="P241" i="13"/>
  <c r="Q241" i="13"/>
  <c r="F242" i="13"/>
  <c r="H242" i="13"/>
  <c r="J242" i="13"/>
  <c r="K242" i="13"/>
  <c r="M242" i="13"/>
  <c r="N242" i="13"/>
  <c r="P242" i="13"/>
  <c r="Q242" i="13"/>
  <c r="F243" i="13"/>
  <c r="H243" i="13"/>
  <c r="J243" i="13"/>
  <c r="K243" i="13"/>
  <c r="M243" i="13"/>
  <c r="N243" i="13"/>
  <c r="P243" i="13"/>
  <c r="Q243" i="13"/>
  <c r="F244" i="13"/>
  <c r="H244" i="13"/>
  <c r="J244" i="13"/>
  <c r="K244" i="13"/>
  <c r="M244" i="13"/>
  <c r="N244" i="13"/>
  <c r="P244" i="13"/>
  <c r="Q244" i="13"/>
  <c r="F245" i="13"/>
  <c r="H245" i="13"/>
  <c r="J245" i="13"/>
  <c r="K245" i="13"/>
  <c r="M245" i="13"/>
  <c r="N245" i="13"/>
  <c r="P245" i="13"/>
  <c r="Q245" i="13"/>
  <c r="F246" i="13"/>
  <c r="H246" i="13"/>
  <c r="J246" i="13"/>
  <c r="K246" i="13"/>
  <c r="M246" i="13"/>
  <c r="N246" i="13"/>
  <c r="P246" i="13"/>
  <c r="Q246" i="13"/>
  <c r="F247" i="13"/>
  <c r="H247" i="13"/>
  <c r="J247" i="13"/>
  <c r="K247" i="13"/>
  <c r="M247" i="13"/>
  <c r="N247" i="13"/>
  <c r="P247" i="13"/>
  <c r="Q247" i="13"/>
  <c r="F248" i="13"/>
  <c r="H248" i="13"/>
  <c r="J248" i="13"/>
  <c r="K248" i="13"/>
  <c r="M248" i="13"/>
  <c r="N248" i="13"/>
  <c r="P248" i="13"/>
  <c r="Q248" i="13"/>
  <c r="F249" i="13"/>
  <c r="H249" i="13"/>
  <c r="J249" i="13"/>
  <c r="K249" i="13"/>
  <c r="M249" i="13"/>
  <c r="N249" i="13"/>
  <c r="P249" i="13"/>
  <c r="Q249" i="13"/>
  <c r="F250" i="13"/>
  <c r="H250" i="13"/>
  <c r="J250" i="13"/>
  <c r="K250" i="13"/>
  <c r="M250" i="13"/>
  <c r="N250" i="13"/>
  <c r="P250" i="13"/>
  <c r="Q250" i="13"/>
  <c r="F251" i="13"/>
  <c r="H251" i="13"/>
  <c r="J251" i="13"/>
  <c r="K251" i="13"/>
  <c r="M251" i="13"/>
  <c r="N251" i="13"/>
  <c r="P251" i="13"/>
  <c r="Q251" i="13"/>
  <c r="F252" i="13"/>
  <c r="H252" i="13"/>
  <c r="J252" i="13"/>
  <c r="K252" i="13"/>
  <c r="M252" i="13"/>
  <c r="N252" i="13"/>
  <c r="P252" i="13"/>
  <c r="Q252" i="13"/>
  <c r="F253" i="13"/>
  <c r="H253" i="13"/>
  <c r="J253" i="13"/>
  <c r="K253" i="13"/>
  <c r="M253" i="13"/>
  <c r="N253" i="13"/>
  <c r="P253" i="13"/>
  <c r="Q253" i="13"/>
  <c r="F254" i="13"/>
  <c r="H254" i="13"/>
  <c r="J254" i="13"/>
  <c r="K254" i="13"/>
  <c r="M254" i="13"/>
  <c r="N254" i="13"/>
  <c r="P254" i="13"/>
  <c r="Q254" i="13"/>
  <c r="F255" i="13"/>
  <c r="H255" i="13"/>
  <c r="J255" i="13"/>
  <c r="K255" i="13"/>
  <c r="M255" i="13"/>
  <c r="N255" i="13"/>
  <c r="P255" i="13"/>
  <c r="Q255" i="13"/>
  <c r="F256" i="13"/>
  <c r="H256" i="13"/>
  <c r="J256" i="13"/>
  <c r="K256" i="13"/>
  <c r="M256" i="13"/>
  <c r="N256" i="13"/>
  <c r="P256" i="13"/>
  <c r="Q256" i="13"/>
  <c r="F257" i="13"/>
  <c r="H257" i="13"/>
  <c r="J257" i="13"/>
  <c r="K257" i="13"/>
  <c r="M257" i="13"/>
  <c r="N257" i="13"/>
  <c r="P257" i="13"/>
  <c r="Q257" i="13"/>
  <c r="F258" i="13"/>
  <c r="H258" i="13"/>
  <c r="J258" i="13"/>
  <c r="K258" i="13"/>
  <c r="M258" i="13"/>
  <c r="N258" i="13"/>
  <c r="P258" i="13"/>
  <c r="Q258" i="13"/>
  <c r="F259" i="13"/>
  <c r="H259" i="13"/>
  <c r="J259" i="13"/>
  <c r="K259" i="13"/>
  <c r="M259" i="13"/>
  <c r="N259" i="13"/>
  <c r="P259" i="13"/>
  <c r="Q259" i="13"/>
  <c r="F260" i="13"/>
  <c r="H260" i="13"/>
  <c r="J260" i="13"/>
  <c r="K260" i="13"/>
  <c r="M260" i="13"/>
  <c r="N260" i="13"/>
  <c r="P260" i="13"/>
  <c r="Q260" i="13"/>
  <c r="F261" i="13"/>
  <c r="H261" i="13"/>
  <c r="J261" i="13"/>
  <c r="K261" i="13"/>
  <c r="M261" i="13"/>
  <c r="N261" i="13"/>
  <c r="P261" i="13"/>
  <c r="Q261" i="13"/>
  <c r="F262" i="13"/>
  <c r="H262" i="13"/>
  <c r="J262" i="13"/>
  <c r="K262" i="13"/>
  <c r="M262" i="13"/>
  <c r="N262" i="13"/>
  <c r="P262" i="13"/>
  <c r="Q262" i="13"/>
  <c r="F263" i="13"/>
  <c r="H263" i="13"/>
  <c r="J263" i="13"/>
  <c r="K263" i="13"/>
  <c r="M263" i="13"/>
  <c r="N263" i="13"/>
  <c r="P263" i="13"/>
  <c r="Q263" i="13"/>
  <c r="F264" i="13"/>
  <c r="H264" i="13"/>
  <c r="J264" i="13"/>
  <c r="K264" i="13"/>
  <c r="M264" i="13"/>
  <c r="N264" i="13"/>
  <c r="P264" i="13"/>
  <c r="Q264" i="13"/>
  <c r="F265" i="13"/>
  <c r="H265" i="13"/>
  <c r="J265" i="13"/>
  <c r="K265" i="13"/>
  <c r="M265" i="13"/>
  <c r="N265" i="13"/>
  <c r="P265" i="13"/>
  <c r="Q265" i="13"/>
  <c r="F266" i="13"/>
  <c r="H266" i="13"/>
  <c r="J266" i="13"/>
  <c r="K266" i="13"/>
  <c r="M266" i="13"/>
  <c r="N266" i="13"/>
  <c r="P266" i="13"/>
  <c r="Q266" i="13"/>
  <c r="F267" i="13"/>
  <c r="H267" i="13"/>
  <c r="J267" i="13"/>
  <c r="K267" i="13"/>
  <c r="M267" i="13"/>
  <c r="N267" i="13"/>
  <c r="P267" i="13"/>
  <c r="Q267" i="13"/>
  <c r="F268" i="13"/>
  <c r="H268" i="13"/>
  <c r="J268" i="13"/>
  <c r="K268" i="13"/>
  <c r="M268" i="13"/>
  <c r="N268" i="13"/>
  <c r="P268" i="13"/>
  <c r="Q268" i="13"/>
  <c r="F269" i="13"/>
  <c r="H269" i="13"/>
  <c r="J269" i="13"/>
  <c r="K269" i="13"/>
  <c r="M269" i="13"/>
  <c r="N269" i="13"/>
  <c r="P269" i="13"/>
  <c r="Q269" i="13"/>
  <c r="F270" i="13"/>
  <c r="H270" i="13"/>
  <c r="J270" i="13"/>
  <c r="K270" i="13"/>
  <c r="M270" i="13"/>
  <c r="N270" i="13"/>
  <c r="P270" i="13"/>
  <c r="Q270" i="13"/>
  <c r="F271" i="13"/>
  <c r="H271" i="13"/>
  <c r="J271" i="13"/>
  <c r="K271" i="13"/>
  <c r="M271" i="13"/>
  <c r="N271" i="13"/>
  <c r="P271" i="13"/>
  <c r="Q271" i="13"/>
  <c r="F272" i="13"/>
  <c r="H272" i="13"/>
  <c r="J272" i="13"/>
  <c r="K272" i="13"/>
  <c r="M272" i="13"/>
  <c r="N272" i="13"/>
  <c r="P272" i="13"/>
  <c r="Q272" i="13"/>
  <c r="F273" i="13"/>
  <c r="H273" i="13"/>
  <c r="J273" i="13"/>
  <c r="K273" i="13"/>
  <c r="M273" i="13"/>
  <c r="N273" i="13"/>
  <c r="P273" i="13"/>
  <c r="Q273" i="13"/>
  <c r="F274" i="13"/>
  <c r="H274" i="13"/>
  <c r="J274" i="13"/>
  <c r="K274" i="13"/>
  <c r="M274" i="13"/>
  <c r="N274" i="13"/>
  <c r="P274" i="13"/>
  <c r="Q274" i="13"/>
  <c r="F275" i="13"/>
  <c r="H275" i="13"/>
  <c r="J275" i="13"/>
  <c r="K275" i="13"/>
  <c r="M275" i="13"/>
  <c r="N275" i="13"/>
  <c r="P275" i="13"/>
  <c r="Q275" i="13"/>
  <c r="F276" i="13"/>
  <c r="H276" i="13"/>
  <c r="J276" i="13"/>
  <c r="K276" i="13"/>
  <c r="M276" i="13"/>
  <c r="N276" i="13"/>
  <c r="P276" i="13"/>
  <c r="Q276" i="13"/>
  <c r="F277" i="13"/>
  <c r="H277" i="13"/>
  <c r="J277" i="13"/>
  <c r="K277" i="13"/>
  <c r="M277" i="13"/>
  <c r="N277" i="13"/>
  <c r="P277" i="13"/>
  <c r="Q277" i="13"/>
  <c r="F278" i="13"/>
  <c r="H278" i="13"/>
  <c r="J278" i="13"/>
  <c r="K278" i="13"/>
  <c r="M278" i="13"/>
  <c r="N278" i="13"/>
  <c r="P278" i="13"/>
  <c r="Q278" i="13"/>
  <c r="F279" i="13"/>
  <c r="H279" i="13"/>
  <c r="J279" i="13"/>
  <c r="K279" i="13"/>
  <c r="M279" i="13"/>
  <c r="N279" i="13"/>
  <c r="P279" i="13"/>
  <c r="Q279" i="13"/>
  <c r="F280" i="13"/>
  <c r="H280" i="13"/>
  <c r="J280" i="13"/>
  <c r="K280" i="13"/>
  <c r="M280" i="13"/>
  <c r="N280" i="13"/>
  <c r="P280" i="13"/>
  <c r="Q280" i="13"/>
  <c r="F281" i="13"/>
  <c r="H281" i="13"/>
  <c r="J281" i="13"/>
  <c r="K281" i="13"/>
  <c r="M281" i="13"/>
  <c r="N281" i="13"/>
  <c r="P281" i="13"/>
  <c r="Q281" i="13"/>
  <c r="F282" i="13"/>
  <c r="H282" i="13"/>
  <c r="J282" i="13"/>
  <c r="K282" i="13"/>
  <c r="M282" i="13"/>
  <c r="N282" i="13"/>
  <c r="P282" i="13"/>
  <c r="Q282" i="13"/>
  <c r="F283" i="13"/>
  <c r="H283" i="13"/>
  <c r="J283" i="13"/>
  <c r="K283" i="13"/>
  <c r="M283" i="13"/>
  <c r="N283" i="13"/>
  <c r="P283" i="13"/>
  <c r="Q283" i="13"/>
  <c r="F284" i="13"/>
  <c r="H284" i="13"/>
  <c r="J284" i="13"/>
  <c r="K284" i="13"/>
  <c r="M284" i="13"/>
  <c r="N284" i="13"/>
  <c r="P284" i="13"/>
  <c r="Q284" i="13"/>
  <c r="F285" i="13"/>
  <c r="H285" i="13"/>
  <c r="J285" i="13"/>
  <c r="K285" i="13"/>
  <c r="M285" i="13"/>
  <c r="N285" i="13"/>
  <c r="P285" i="13"/>
  <c r="Q285" i="13"/>
  <c r="F286" i="13"/>
  <c r="H286" i="13"/>
  <c r="J286" i="13"/>
  <c r="K286" i="13"/>
  <c r="M286" i="13"/>
  <c r="N286" i="13"/>
  <c r="P286" i="13"/>
  <c r="Q286" i="13"/>
  <c r="F287" i="13"/>
  <c r="H287" i="13"/>
  <c r="J287" i="13"/>
  <c r="K287" i="13"/>
  <c r="M287" i="13"/>
  <c r="N287" i="13"/>
  <c r="P287" i="13"/>
  <c r="Q287" i="13"/>
  <c r="F288" i="13"/>
  <c r="H288" i="13"/>
  <c r="J288" i="13"/>
  <c r="K288" i="13"/>
  <c r="M288" i="13"/>
  <c r="N288" i="13"/>
  <c r="P288" i="13"/>
  <c r="Q288" i="13"/>
  <c r="F289" i="13"/>
  <c r="H289" i="13"/>
  <c r="J289" i="13"/>
  <c r="K289" i="13"/>
  <c r="M289" i="13"/>
  <c r="N289" i="13"/>
  <c r="P289" i="13"/>
  <c r="Q289" i="13"/>
  <c r="F290" i="13"/>
  <c r="H290" i="13"/>
  <c r="J290" i="13"/>
  <c r="K290" i="13"/>
  <c r="M290" i="13"/>
  <c r="N290" i="13"/>
  <c r="P290" i="13"/>
  <c r="Q290" i="13"/>
  <c r="F291" i="13"/>
  <c r="H291" i="13"/>
  <c r="J291" i="13"/>
  <c r="K291" i="13"/>
  <c r="M291" i="13"/>
  <c r="N291" i="13"/>
  <c r="P291" i="13"/>
  <c r="Q291" i="13"/>
  <c r="F292" i="13"/>
  <c r="H292" i="13"/>
  <c r="J292" i="13"/>
  <c r="K292" i="13"/>
  <c r="M292" i="13"/>
  <c r="N292" i="13"/>
  <c r="P292" i="13"/>
  <c r="Q292" i="13"/>
  <c r="F293" i="13"/>
  <c r="H293" i="13"/>
  <c r="J293" i="13"/>
  <c r="K293" i="13"/>
  <c r="M293" i="13"/>
  <c r="N293" i="13"/>
  <c r="P293" i="13"/>
  <c r="Q293" i="13"/>
  <c r="F294" i="13"/>
  <c r="H294" i="13"/>
  <c r="J294" i="13"/>
  <c r="K294" i="13"/>
  <c r="M294" i="13"/>
  <c r="N294" i="13"/>
  <c r="P294" i="13"/>
  <c r="Q294" i="13"/>
  <c r="F295" i="13"/>
  <c r="H295" i="13"/>
  <c r="J295" i="13"/>
  <c r="K295" i="13"/>
  <c r="M295" i="13"/>
  <c r="N295" i="13"/>
  <c r="P295" i="13"/>
  <c r="Q295" i="13"/>
  <c r="F296" i="13"/>
  <c r="H296" i="13"/>
  <c r="J296" i="13"/>
  <c r="K296" i="13"/>
  <c r="M296" i="13"/>
  <c r="N296" i="13"/>
  <c r="P296" i="13"/>
  <c r="Q296" i="13"/>
  <c r="F297" i="13"/>
  <c r="H297" i="13"/>
  <c r="J297" i="13"/>
  <c r="K297" i="13"/>
  <c r="M297" i="13"/>
  <c r="N297" i="13"/>
  <c r="P297" i="13"/>
  <c r="Q297" i="13"/>
  <c r="F298" i="13"/>
  <c r="H298" i="13"/>
  <c r="J298" i="13"/>
  <c r="K298" i="13"/>
  <c r="M298" i="13"/>
  <c r="N298" i="13"/>
  <c r="P298" i="13"/>
  <c r="Q298" i="13"/>
  <c r="F299" i="13"/>
  <c r="H299" i="13"/>
  <c r="J299" i="13"/>
  <c r="K299" i="13"/>
  <c r="M299" i="13"/>
  <c r="N299" i="13"/>
  <c r="P299" i="13"/>
  <c r="Q299" i="13"/>
  <c r="F300" i="13"/>
  <c r="H300" i="13"/>
  <c r="J300" i="13"/>
  <c r="K300" i="13"/>
  <c r="M300" i="13"/>
  <c r="N300" i="13"/>
  <c r="P300" i="13"/>
  <c r="Q300" i="13"/>
  <c r="F301" i="13"/>
  <c r="H301" i="13"/>
  <c r="J301" i="13"/>
  <c r="K301" i="13"/>
  <c r="M301" i="13"/>
  <c r="N301" i="13"/>
  <c r="P301" i="13"/>
  <c r="Q301" i="13"/>
  <c r="F302" i="13"/>
  <c r="H302" i="13"/>
  <c r="J302" i="13"/>
  <c r="K302" i="13"/>
  <c r="M302" i="13"/>
  <c r="N302" i="13"/>
  <c r="P302" i="13"/>
  <c r="Q302" i="13"/>
  <c r="F303" i="13"/>
  <c r="H303" i="13"/>
  <c r="J303" i="13"/>
  <c r="K303" i="13"/>
  <c r="M303" i="13"/>
  <c r="N303" i="13"/>
  <c r="P303" i="13"/>
  <c r="Q303" i="13"/>
  <c r="F304" i="13"/>
  <c r="H304" i="13"/>
  <c r="J304" i="13"/>
  <c r="K304" i="13"/>
  <c r="M304" i="13"/>
  <c r="N304" i="13"/>
  <c r="P304" i="13"/>
  <c r="Q304" i="13"/>
  <c r="F305" i="13"/>
  <c r="H305" i="13"/>
  <c r="J305" i="13"/>
  <c r="K305" i="13"/>
  <c r="M305" i="13"/>
  <c r="N305" i="13"/>
  <c r="P305" i="13"/>
  <c r="Q305" i="13"/>
  <c r="F306" i="13"/>
  <c r="H306" i="13"/>
  <c r="J306" i="13"/>
  <c r="K306" i="13"/>
  <c r="M306" i="13"/>
  <c r="N306" i="13"/>
  <c r="P306" i="13"/>
  <c r="Q306" i="13"/>
  <c r="F307" i="13"/>
  <c r="H307" i="13"/>
  <c r="J307" i="13"/>
  <c r="K307" i="13"/>
  <c r="M307" i="13"/>
  <c r="N307" i="13"/>
  <c r="P307" i="13"/>
  <c r="Q307" i="13"/>
  <c r="F308" i="13"/>
  <c r="H308" i="13"/>
  <c r="J308" i="13"/>
  <c r="K308" i="13"/>
  <c r="M308" i="13"/>
  <c r="N308" i="13"/>
  <c r="P308" i="13"/>
  <c r="Q308" i="13"/>
  <c r="F309" i="13"/>
  <c r="H309" i="13"/>
  <c r="J309" i="13"/>
  <c r="K309" i="13"/>
  <c r="M309" i="13"/>
  <c r="N309" i="13"/>
  <c r="P309" i="13"/>
  <c r="Q309" i="13"/>
  <c r="F310" i="13"/>
  <c r="H310" i="13"/>
  <c r="J310" i="13"/>
  <c r="K310" i="13"/>
  <c r="M310" i="13"/>
  <c r="N310" i="13"/>
  <c r="P310" i="13"/>
  <c r="Q310" i="13"/>
  <c r="F311" i="13"/>
  <c r="H311" i="13"/>
  <c r="J311" i="13"/>
  <c r="K311" i="13"/>
  <c r="M311" i="13"/>
  <c r="N311" i="13"/>
  <c r="P311" i="13"/>
  <c r="Q311" i="13"/>
  <c r="F312" i="13"/>
  <c r="H312" i="13"/>
  <c r="J312" i="13"/>
  <c r="K312" i="13"/>
  <c r="M312" i="13"/>
  <c r="N312" i="13"/>
  <c r="P312" i="13"/>
  <c r="Q312" i="13"/>
  <c r="F313" i="13"/>
  <c r="H313" i="13"/>
  <c r="J313" i="13"/>
  <c r="K313" i="13"/>
  <c r="M313" i="13"/>
  <c r="N313" i="13"/>
  <c r="P313" i="13"/>
  <c r="Q313" i="13"/>
  <c r="F314" i="13"/>
  <c r="H314" i="13"/>
  <c r="J314" i="13"/>
  <c r="K314" i="13"/>
  <c r="M314" i="13"/>
  <c r="N314" i="13"/>
  <c r="P314" i="13"/>
  <c r="Q314" i="13"/>
  <c r="F315" i="13"/>
  <c r="H315" i="13"/>
  <c r="J315" i="13"/>
  <c r="K315" i="13"/>
  <c r="M315" i="13"/>
  <c r="N315" i="13"/>
  <c r="P315" i="13"/>
  <c r="Q315" i="13"/>
  <c r="F316" i="13"/>
  <c r="H316" i="13"/>
  <c r="J316" i="13"/>
  <c r="K316" i="13"/>
  <c r="M316" i="13"/>
  <c r="N316" i="13"/>
  <c r="P316" i="13"/>
  <c r="Q316" i="13"/>
  <c r="E135" i="13"/>
  <c r="T2" i="15"/>
  <c r="AD2" i="15"/>
  <c r="AD15" i="15" s="1"/>
  <c r="AL2" i="15"/>
  <c r="T3" i="15"/>
  <c r="AE4" i="15"/>
  <c r="AL4" i="15"/>
  <c r="AK15" i="15"/>
  <c r="AK14" i="15"/>
  <c r="AK13" i="15" s="1"/>
  <c r="F222" i="15"/>
  <c r="J222" i="15"/>
  <c r="M222" i="15"/>
  <c r="P222" i="15"/>
  <c r="H11" i="15"/>
  <c r="D16" i="15"/>
  <c r="H13" i="15" s="1"/>
  <c r="H12" i="15" s="1"/>
  <c r="AL15" i="15"/>
  <c r="AK16" i="15"/>
  <c r="AL16" i="15" s="1"/>
  <c r="AE20" i="15"/>
  <c r="AL20" i="15"/>
  <c r="AK31" i="15"/>
  <c r="AK32" i="15" s="1"/>
  <c r="AK30" i="15"/>
  <c r="AK29" i="15" s="1"/>
  <c r="AL30" i="15"/>
  <c r="AL31" i="15"/>
  <c r="AL32" i="15"/>
  <c r="AE37" i="15"/>
  <c r="AL38" i="15"/>
  <c r="AK49" i="15"/>
  <c r="AK50" i="15" s="1"/>
  <c r="AL50" i="15" s="1"/>
  <c r="AL49" i="15"/>
  <c r="AE54" i="15"/>
  <c r="AL54" i="15"/>
  <c r="AK65" i="15"/>
  <c r="AK64" i="15"/>
  <c r="AL65" i="15"/>
  <c r="AK66" i="15"/>
  <c r="AL66" i="15"/>
  <c r="E45" i="13"/>
  <c r="H11" i="13"/>
  <c r="D16" i="13"/>
  <c r="H13" i="13" s="1"/>
  <c r="C16" i="10"/>
  <c r="F13" i="10" s="1"/>
  <c r="F11" i="10"/>
  <c r="AD2" i="13"/>
  <c r="AD15" i="13" s="1"/>
  <c r="T2" i="13"/>
  <c r="AL2" i="13"/>
  <c r="AK35" i="13" s="1"/>
  <c r="AL35" i="13" s="1"/>
  <c r="AE4" i="13"/>
  <c r="AL4" i="13"/>
  <c r="F227" i="13"/>
  <c r="J227" i="13"/>
  <c r="M227" i="13"/>
  <c r="P227" i="13"/>
  <c r="AE20" i="13"/>
  <c r="AL20" i="13"/>
  <c r="AE42" i="13"/>
  <c r="AD53" i="13"/>
  <c r="AD52" i="13" s="1"/>
  <c r="AD51" i="13" s="1"/>
  <c r="AL43" i="13"/>
  <c r="AE59" i="13"/>
  <c r="AL59" i="13"/>
  <c r="AK2" i="10"/>
  <c r="AJ70" i="10" s="1"/>
  <c r="AJ71" i="10" s="1"/>
  <c r="AK71" i="10" s="1"/>
  <c r="AC2" i="10"/>
  <c r="AC70" i="10" s="1"/>
  <c r="AC71" i="10" s="1"/>
  <c r="AD71" i="10" s="1"/>
  <c r="E228" i="10"/>
  <c r="I228" i="10"/>
  <c r="L228" i="10"/>
  <c r="O228" i="10"/>
  <c r="E229" i="10"/>
  <c r="I229" i="10"/>
  <c r="L229" i="10"/>
  <c r="O229" i="10"/>
  <c r="E230" i="10"/>
  <c r="I230" i="10"/>
  <c r="L230" i="10"/>
  <c r="O230" i="10"/>
  <c r="E231" i="10"/>
  <c r="I231" i="10"/>
  <c r="L231" i="10"/>
  <c r="O231" i="10"/>
  <c r="E232" i="10"/>
  <c r="I232" i="10"/>
  <c r="L232" i="10"/>
  <c r="O232" i="10"/>
  <c r="E233" i="10"/>
  <c r="I233" i="10"/>
  <c r="L233" i="10"/>
  <c r="O233" i="10"/>
  <c r="E234" i="10"/>
  <c r="I234" i="10"/>
  <c r="L234" i="10"/>
  <c r="O234" i="10"/>
  <c r="E235" i="10"/>
  <c r="I235" i="10"/>
  <c r="L235" i="10"/>
  <c r="O235" i="10"/>
  <c r="E236" i="10"/>
  <c r="I236" i="10"/>
  <c r="L236" i="10"/>
  <c r="O236" i="10"/>
  <c r="E237" i="10"/>
  <c r="I237" i="10"/>
  <c r="L237" i="10"/>
  <c r="O237" i="10"/>
  <c r="E238" i="10"/>
  <c r="I238" i="10"/>
  <c r="L238" i="10"/>
  <c r="O238" i="10"/>
  <c r="E239" i="10"/>
  <c r="I239" i="10"/>
  <c r="L239" i="10"/>
  <c r="O239" i="10"/>
  <c r="E240" i="10"/>
  <c r="I240" i="10"/>
  <c r="L240" i="10"/>
  <c r="O240" i="10"/>
  <c r="E241" i="10"/>
  <c r="I241" i="10"/>
  <c r="L241" i="10"/>
  <c r="O241" i="10"/>
  <c r="E242" i="10"/>
  <c r="I242" i="10"/>
  <c r="L242" i="10"/>
  <c r="O242" i="10"/>
  <c r="E243" i="10"/>
  <c r="I243" i="10"/>
  <c r="L243" i="10"/>
  <c r="O243" i="10"/>
  <c r="E244" i="10"/>
  <c r="I244" i="10"/>
  <c r="L244" i="10"/>
  <c r="O244" i="10"/>
  <c r="E245" i="10"/>
  <c r="I245" i="10"/>
  <c r="L245" i="10"/>
  <c r="O245" i="10"/>
  <c r="E246" i="10"/>
  <c r="I246" i="10"/>
  <c r="L246" i="10"/>
  <c r="O246" i="10"/>
  <c r="E247" i="10"/>
  <c r="I247" i="10"/>
  <c r="L247" i="10"/>
  <c r="O247" i="10"/>
  <c r="E248" i="10"/>
  <c r="I248" i="10"/>
  <c r="L248" i="10"/>
  <c r="O248" i="10"/>
  <c r="E249" i="10"/>
  <c r="I249" i="10"/>
  <c r="L249" i="10"/>
  <c r="O249" i="10"/>
  <c r="E250" i="10"/>
  <c r="I250" i="10"/>
  <c r="L250" i="10"/>
  <c r="O250" i="10"/>
  <c r="E251" i="10"/>
  <c r="I251" i="10"/>
  <c r="L251" i="10"/>
  <c r="O251" i="10"/>
  <c r="E252" i="10"/>
  <c r="I252" i="10"/>
  <c r="L252" i="10"/>
  <c r="O252" i="10"/>
  <c r="E253" i="10"/>
  <c r="I253" i="10"/>
  <c r="L253" i="10"/>
  <c r="O253" i="10"/>
  <c r="E254" i="10"/>
  <c r="I254" i="10"/>
  <c r="L254" i="10"/>
  <c r="O254" i="10"/>
  <c r="E255" i="10"/>
  <c r="I255" i="10"/>
  <c r="L255" i="10"/>
  <c r="O255" i="10"/>
  <c r="E256" i="10"/>
  <c r="I256" i="10"/>
  <c r="L256" i="10"/>
  <c r="O256" i="10"/>
  <c r="E257" i="10"/>
  <c r="I257" i="10"/>
  <c r="L257" i="10"/>
  <c r="O257" i="10"/>
  <c r="E258" i="10"/>
  <c r="I258" i="10"/>
  <c r="L258" i="10"/>
  <c r="O258" i="10"/>
  <c r="E259" i="10"/>
  <c r="I259" i="10"/>
  <c r="L259" i="10"/>
  <c r="O259" i="10"/>
  <c r="E260" i="10"/>
  <c r="I260" i="10"/>
  <c r="L260" i="10"/>
  <c r="O260" i="10"/>
  <c r="E261" i="10"/>
  <c r="I261" i="10"/>
  <c r="L261" i="10"/>
  <c r="O261" i="10"/>
  <c r="E262" i="10"/>
  <c r="I262" i="10"/>
  <c r="L262" i="10"/>
  <c r="O262" i="10"/>
  <c r="E263" i="10"/>
  <c r="I263" i="10"/>
  <c r="L263" i="10"/>
  <c r="O263" i="10"/>
  <c r="E264" i="10"/>
  <c r="I264" i="10"/>
  <c r="L264" i="10"/>
  <c r="O264" i="10"/>
  <c r="E265" i="10"/>
  <c r="I265" i="10"/>
  <c r="L265" i="10"/>
  <c r="O265" i="10"/>
  <c r="E266" i="10"/>
  <c r="I266" i="10"/>
  <c r="L266" i="10"/>
  <c r="O266" i="10"/>
  <c r="E267" i="10"/>
  <c r="I267" i="10"/>
  <c r="L267" i="10"/>
  <c r="O267" i="10"/>
  <c r="E268" i="10"/>
  <c r="I268" i="10"/>
  <c r="L268" i="10"/>
  <c r="O268" i="10"/>
  <c r="E269" i="10"/>
  <c r="I269" i="10"/>
  <c r="L269" i="10"/>
  <c r="O269" i="10"/>
  <c r="E270" i="10"/>
  <c r="I270" i="10"/>
  <c r="L270" i="10"/>
  <c r="O270" i="10"/>
  <c r="E271" i="10"/>
  <c r="I271" i="10"/>
  <c r="L271" i="10"/>
  <c r="O271" i="10"/>
  <c r="E272" i="10"/>
  <c r="I272" i="10"/>
  <c r="L272" i="10"/>
  <c r="O272" i="10"/>
  <c r="E273" i="10"/>
  <c r="I273" i="10"/>
  <c r="L273" i="10"/>
  <c r="O273" i="10"/>
  <c r="E274" i="10"/>
  <c r="I274" i="10"/>
  <c r="L274" i="10"/>
  <c r="O274" i="10"/>
  <c r="E275" i="10"/>
  <c r="I275" i="10"/>
  <c r="L275" i="10"/>
  <c r="O275" i="10"/>
  <c r="E276" i="10"/>
  <c r="I276" i="10"/>
  <c r="L276" i="10"/>
  <c r="O276" i="10"/>
  <c r="E277" i="10"/>
  <c r="I277" i="10"/>
  <c r="L277" i="10"/>
  <c r="O277" i="10"/>
  <c r="E278" i="10"/>
  <c r="I278" i="10"/>
  <c r="L278" i="10"/>
  <c r="O278" i="10"/>
  <c r="E279" i="10"/>
  <c r="I279" i="10"/>
  <c r="L279" i="10"/>
  <c r="O279" i="10"/>
  <c r="E280" i="10"/>
  <c r="I280" i="10"/>
  <c r="L280" i="10"/>
  <c r="O280" i="10"/>
  <c r="E281" i="10"/>
  <c r="I281" i="10"/>
  <c r="L281" i="10"/>
  <c r="O281" i="10"/>
  <c r="E282" i="10"/>
  <c r="I282" i="10"/>
  <c r="L282" i="10"/>
  <c r="O282" i="10"/>
  <c r="E283" i="10"/>
  <c r="I283" i="10"/>
  <c r="L283" i="10"/>
  <c r="O283" i="10"/>
  <c r="E284" i="10"/>
  <c r="I284" i="10"/>
  <c r="L284" i="10"/>
  <c r="O284" i="10"/>
  <c r="E285" i="10"/>
  <c r="I285" i="10"/>
  <c r="L285" i="10"/>
  <c r="O285" i="10"/>
  <c r="E286" i="10"/>
  <c r="I286" i="10"/>
  <c r="L286" i="10"/>
  <c r="O286" i="10"/>
  <c r="E287" i="10"/>
  <c r="I287" i="10"/>
  <c r="L287" i="10"/>
  <c r="O287" i="10"/>
  <c r="E288" i="10"/>
  <c r="I288" i="10"/>
  <c r="L288" i="10"/>
  <c r="O288" i="10"/>
  <c r="E289" i="10"/>
  <c r="I289" i="10"/>
  <c r="L289" i="10"/>
  <c r="O289" i="10"/>
  <c r="E290" i="10"/>
  <c r="I290" i="10"/>
  <c r="L290" i="10"/>
  <c r="O290" i="10"/>
  <c r="E291" i="10"/>
  <c r="I291" i="10"/>
  <c r="L291" i="10"/>
  <c r="O291" i="10"/>
  <c r="E292" i="10"/>
  <c r="I292" i="10"/>
  <c r="L292" i="10"/>
  <c r="O292" i="10"/>
  <c r="E293" i="10"/>
  <c r="I293" i="10"/>
  <c r="L293" i="10"/>
  <c r="O293" i="10"/>
  <c r="E294" i="10"/>
  <c r="I294" i="10"/>
  <c r="L294" i="10"/>
  <c r="O294" i="10"/>
  <c r="E295" i="10"/>
  <c r="I295" i="10"/>
  <c r="L295" i="10"/>
  <c r="O295" i="10"/>
  <c r="E296" i="10"/>
  <c r="I296" i="10"/>
  <c r="L296" i="10"/>
  <c r="O296" i="10"/>
  <c r="E297" i="10"/>
  <c r="I297" i="10"/>
  <c r="L297" i="10"/>
  <c r="O297" i="10"/>
  <c r="E298" i="10"/>
  <c r="I298" i="10"/>
  <c r="L298" i="10"/>
  <c r="O298" i="10"/>
  <c r="E299" i="10"/>
  <c r="I299" i="10"/>
  <c r="L299" i="10"/>
  <c r="O299" i="10"/>
  <c r="E300" i="10"/>
  <c r="I300" i="10"/>
  <c r="L300" i="10"/>
  <c r="O300" i="10"/>
  <c r="E301" i="10"/>
  <c r="I301" i="10"/>
  <c r="L301" i="10"/>
  <c r="O301" i="10"/>
  <c r="E302" i="10"/>
  <c r="F302" i="10"/>
  <c r="I302" i="10"/>
  <c r="J302" i="10"/>
  <c r="L302" i="10"/>
  <c r="M302" i="10"/>
  <c r="O302" i="10"/>
  <c r="P302" i="10"/>
  <c r="E303" i="10"/>
  <c r="F303" i="10"/>
  <c r="I303" i="10"/>
  <c r="J303" i="10"/>
  <c r="L303" i="10"/>
  <c r="M303" i="10"/>
  <c r="O303" i="10"/>
  <c r="P303" i="10"/>
  <c r="E304" i="10"/>
  <c r="F304" i="10"/>
  <c r="I304" i="10"/>
  <c r="J304" i="10"/>
  <c r="L304" i="10"/>
  <c r="M304" i="10"/>
  <c r="O304" i="10"/>
  <c r="P304" i="10"/>
  <c r="E305" i="10"/>
  <c r="F305" i="10"/>
  <c r="I305" i="10"/>
  <c r="J305" i="10"/>
  <c r="L305" i="10"/>
  <c r="M305" i="10"/>
  <c r="O305" i="10"/>
  <c r="P305" i="10"/>
  <c r="E306" i="10"/>
  <c r="F306" i="10"/>
  <c r="I306" i="10"/>
  <c r="J306" i="10"/>
  <c r="L306" i="10"/>
  <c r="M306" i="10"/>
  <c r="O306" i="10"/>
  <c r="P306" i="10"/>
  <c r="E307" i="10"/>
  <c r="F307" i="10"/>
  <c r="I307" i="10"/>
  <c r="J307" i="10"/>
  <c r="L307" i="10"/>
  <c r="M307" i="10"/>
  <c r="O307" i="10"/>
  <c r="P307" i="10"/>
  <c r="E308" i="10"/>
  <c r="F308" i="10"/>
  <c r="I308" i="10"/>
  <c r="J308" i="10"/>
  <c r="L308" i="10"/>
  <c r="M308" i="10"/>
  <c r="O308" i="10"/>
  <c r="P308" i="10"/>
  <c r="E309" i="10"/>
  <c r="F309" i="10"/>
  <c r="I309" i="10"/>
  <c r="J309" i="10"/>
  <c r="L309" i="10"/>
  <c r="M309" i="10"/>
  <c r="O309" i="10"/>
  <c r="P309" i="10"/>
  <c r="E310" i="10"/>
  <c r="F310" i="10"/>
  <c r="I310" i="10"/>
  <c r="J310" i="10"/>
  <c r="L310" i="10"/>
  <c r="M310" i="10"/>
  <c r="O310" i="10"/>
  <c r="P310" i="10"/>
  <c r="E311" i="10"/>
  <c r="F311" i="10"/>
  <c r="I311" i="10"/>
  <c r="J311" i="10"/>
  <c r="L311" i="10"/>
  <c r="M311" i="10"/>
  <c r="O311" i="10"/>
  <c r="P311" i="10"/>
  <c r="E312" i="10"/>
  <c r="F312" i="10"/>
  <c r="I312" i="10"/>
  <c r="J312" i="10"/>
  <c r="L312" i="10"/>
  <c r="M312" i="10"/>
  <c r="O312" i="10"/>
  <c r="P312" i="10"/>
  <c r="E313" i="10"/>
  <c r="F313" i="10"/>
  <c r="I313" i="10"/>
  <c r="J313" i="10"/>
  <c r="L313" i="10"/>
  <c r="M313" i="10"/>
  <c r="O313" i="10"/>
  <c r="P313" i="10"/>
  <c r="E314" i="10"/>
  <c r="F314" i="10"/>
  <c r="I314" i="10"/>
  <c r="J314" i="10"/>
  <c r="L314" i="10"/>
  <c r="M314" i="10"/>
  <c r="O314" i="10"/>
  <c r="P314" i="10"/>
  <c r="E315" i="10"/>
  <c r="F315" i="10"/>
  <c r="I315" i="10"/>
  <c r="J315" i="10"/>
  <c r="L315" i="10"/>
  <c r="M315" i="10"/>
  <c r="O315" i="10"/>
  <c r="P315" i="10"/>
  <c r="E316" i="10"/>
  <c r="F316" i="10"/>
  <c r="I316" i="10"/>
  <c r="J316" i="10"/>
  <c r="L316" i="10"/>
  <c r="M316" i="10"/>
  <c r="O316" i="10"/>
  <c r="P316" i="10"/>
  <c r="E227" i="10"/>
  <c r="I227" i="10"/>
  <c r="L227" i="10"/>
  <c r="O227" i="10"/>
  <c r="S2" i="10"/>
  <c r="S3" i="10"/>
  <c r="AD4" i="10"/>
  <c r="AK4" i="10"/>
  <c r="AD20" i="10"/>
  <c r="AK20" i="10"/>
  <c r="AD42" i="10"/>
  <c r="AK43" i="10"/>
  <c r="AD59" i="10"/>
  <c r="AK59" i="10"/>
  <c r="F26" i="13"/>
  <c r="H26" i="13" s="1"/>
  <c r="F27" i="13"/>
  <c r="H27" i="13" s="1"/>
  <c r="F28" i="13"/>
  <c r="H28" i="13" s="1"/>
  <c r="F29" i="13"/>
  <c r="H29" i="13" s="1"/>
  <c r="F30" i="13"/>
  <c r="H30" i="13" s="1"/>
  <c r="F31" i="13"/>
  <c r="H31" i="13" s="1"/>
  <c r="F32" i="13"/>
  <c r="H32" i="13" s="1"/>
  <c r="F33" i="13"/>
  <c r="H33" i="13" s="1"/>
  <c r="F34" i="13"/>
  <c r="H34" i="13" s="1"/>
  <c r="F35" i="13"/>
  <c r="H35" i="13" s="1"/>
  <c r="F36" i="13"/>
  <c r="H36" i="13" s="1"/>
  <c r="F37" i="13"/>
  <c r="H37" i="13" s="1"/>
  <c r="F38" i="13"/>
  <c r="H38" i="13" s="1"/>
  <c r="F39" i="13"/>
  <c r="H39" i="13" s="1"/>
  <c r="F40" i="13"/>
  <c r="H40" i="13" s="1"/>
  <c r="F41" i="13"/>
  <c r="H41" i="13" s="1"/>
  <c r="F42" i="13"/>
  <c r="H42" i="13" s="1"/>
  <c r="F43" i="13"/>
  <c r="H43" i="13" s="1"/>
  <c r="F44" i="13"/>
  <c r="H44" i="13" s="1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M26" i="13"/>
  <c r="N26" i="13" s="1"/>
  <c r="M27" i="13"/>
  <c r="N27" i="13" s="1"/>
  <c r="M28" i="13"/>
  <c r="N28" i="13" s="1"/>
  <c r="M29" i="13"/>
  <c r="N29" i="13" s="1"/>
  <c r="M30" i="13"/>
  <c r="N30" i="13" s="1"/>
  <c r="M31" i="13"/>
  <c r="N31" i="13" s="1"/>
  <c r="M32" i="13"/>
  <c r="N32" i="13" s="1"/>
  <c r="M33" i="13"/>
  <c r="N33" i="13" s="1"/>
  <c r="M34" i="13"/>
  <c r="N34" i="13" s="1"/>
  <c r="M35" i="13"/>
  <c r="N35" i="13" s="1"/>
  <c r="M36" i="13"/>
  <c r="N36" i="13" s="1"/>
  <c r="M37" i="13"/>
  <c r="N37" i="13" s="1"/>
  <c r="M38" i="13"/>
  <c r="N38" i="13" s="1"/>
  <c r="M39" i="13"/>
  <c r="N39" i="13" s="1"/>
  <c r="M40" i="13"/>
  <c r="N40" i="13" s="1"/>
  <c r="M41" i="13"/>
  <c r="N41" i="13" s="1"/>
  <c r="M42" i="13"/>
  <c r="N42" i="13" s="1"/>
  <c r="M43" i="13"/>
  <c r="N43" i="13" s="1"/>
  <c r="M44" i="13"/>
  <c r="N44" i="13" s="1"/>
  <c r="E136" i="10"/>
  <c r="O137" i="10"/>
  <c r="L139" i="10"/>
  <c r="I141" i="10"/>
  <c r="E144" i="10"/>
  <c r="O145" i="10"/>
  <c r="L147" i="10"/>
  <c r="I149" i="10"/>
  <c r="E152" i="10"/>
  <c r="O153" i="10"/>
  <c r="L155" i="10"/>
  <c r="I157" i="10"/>
  <c r="E160" i="10"/>
  <c r="O161" i="10"/>
  <c r="L163" i="10"/>
  <c r="I165" i="10"/>
  <c r="E168" i="10"/>
  <c r="O169" i="10"/>
  <c r="L171" i="10"/>
  <c r="I173" i="10"/>
  <c r="E176" i="10"/>
  <c r="O177" i="10"/>
  <c r="L179" i="10"/>
  <c r="I181" i="10"/>
  <c r="E184" i="10"/>
  <c r="O185" i="10"/>
  <c r="L187" i="10"/>
  <c r="I189" i="10"/>
  <c r="E192" i="10"/>
  <c r="O193" i="10"/>
  <c r="L195" i="10"/>
  <c r="I197" i="10"/>
  <c r="E200" i="10"/>
  <c r="O201" i="10"/>
  <c r="L203" i="10"/>
  <c r="I205" i="10"/>
  <c r="E208" i="10"/>
  <c r="O209" i="10"/>
  <c r="E137" i="10"/>
  <c r="O138" i="10"/>
  <c r="L140" i="10"/>
  <c r="I142" i="10"/>
  <c r="E145" i="10"/>
  <c r="O146" i="10"/>
  <c r="L148" i="10"/>
  <c r="I150" i="10"/>
  <c r="E153" i="10"/>
  <c r="O154" i="10"/>
  <c r="L156" i="10"/>
  <c r="I158" i="10"/>
  <c r="E161" i="10"/>
  <c r="O162" i="10"/>
  <c r="L164" i="10"/>
  <c r="I166" i="10"/>
  <c r="E169" i="10"/>
  <c r="O170" i="10"/>
  <c r="L172" i="10"/>
  <c r="I174" i="10"/>
  <c r="E177" i="10"/>
  <c r="O178" i="10"/>
  <c r="L180" i="10"/>
  <c r="I182" i="10"/>
  <c r="E185" i="10"/>
  <c r="O186" i="10"/>
  <c r="L188" i="10"/>
  <c r="I190" i="10"/>
  <c r="E193" i="10"/>
  <c r="O194" i="10"/>
  <c r="L196" i="10"/>
  <c r="I198" i="10"/>
  <c r="E201" i="10"/>
  <c r="O202" i="10"/>
  <c r="L204" i="10"/>
  <c r="I206" i="10"/>
  <c r="E209" i="10"/>
  <c r="E138" i="10"/>
  <c r="O139" i="10"/>
  <c r="L141" i="10"/>
  <c r="I143" i="10"/>
  <c r="E146" i="10"/>
  <c r="O147" i="10"/>
  <c r="L149" i="10"/>
  <c r="I151" i="10"/>
  <c r="E154" i="10"/>
  <c r="O155" i="10"/>
  <c r="L157" i="10"/>
  <c r="I159" i="10"/>
  <c r="E162" i="10"/>
  <c r="O163" i="10"/>
  <c r="L165" i="10"/>
  <c r="I167" i="10"/>
  <c r="E170" i="10"/>
  <c r="O171" i="10"/>
  <c r="L173" i="10"/>
  <c r="I175" i="10"/>
  <c r="E178" i="10"/>
  <c r="O179" i="10"/>
  <c r="L181" i="10"/>
  <c r="I183" i="10"/>
  <c r="E186" i="10"/>
  <c r="O187" i="10"/>
  <c r="L189" i="10"/>
  <c r="I191" i="10"/>
  <c r="E194" i="10"/>
  <c r="O195" i="10"/>
  <c r="L197" i="10"/>
  <c r="I199" i="10"/>
  <c r="E202" i="10"/>
  <c r="O203" i="10"/>
  <c r="L205" i="10"/>
  <c r="I207" i="10"/>
  <c r="I136" i="10"/>
  <c r="E139" i="10"/>
  <c r="O140" i="10"/>
  <c r="L142" i="10"/>
  <c r="I144" i="10"/>
  <c r="E147" i="10"/>
  <c r="O148" i="10"/>
  <c r="L150" i="10"/>
  <c r="I152" i="10"/>
  <c r="E155" i="10"/>
  <c r="O156" i="10"/>
  <c r="L158" i="10"/>
  <c r="I160" i="10"/>
  <c r="E163" i="10"/>
  <c r="O164" i="10"/>
  <c r="L166" i="10"/>
  <c r="I168" i="10"/>
  <c r="E171" i="10"/>
  <c r="O172" i="10"/>
  <c r="L174" i="10"/>
  <c r="I176" i="10"/>
  <c r="E179" i="10"/>
  <c r="O180" i="10"/>
  <c r="L182" i="10"/>
  <c r="I184" i="10"/>
  <c r="E187" i="10"/>
  <c r="O188" i="10"/>
  <c r="L190" i="10"/>
  <c r="I192" i="10"/>
  <c r="E195" i="10"/>
  <c r="O196" i="10"/>
  <c r="L198" i="10"/>
  <c r="I200" i="10"/>
  <c r="E203" i="10"/>
  <c r="O204" i="10"/>
  <c r="L206" i="10"/>
  <c r="I208" i="10"/>
  <c r="I137" i="10"/>
  <c r="E140" i="10"/>
  <c r="O141" i="10"/>
  <c r="L143" i="10"/>
  <c r="I145" i="10"/>
  <c r="E148" i="10"/>
  <c r="O149" i="10"/>
  <c r="L151" i="10"/>
  <c r="I153" i="10"/>
  <c r="E156" i="10"/>
  <c r="O157" i="10"/>
  <c r="L159" i="10"/>
  <c r="I161" i="10"/>
  <c r="E164" i="10"/>
  <c r="O165" i="10"/>
  <c r="L167" i="10"/>
  <c r="I169" i="10"/>
  <c r="E172" i="10"/>
  <c r="O173" i="10"/>
  <c r="L175" i="10"/>
  <c r="I177" i="10"/>
  <c r="E180" i="10"/>
  <c r="O181" i="10"/>
  <c r="L183" i="10"/>
  <c r="I185" i="10"/>
  <c r="E188" i="10"/>
  <c r="O189" i="10"/>
  <c r="L191" i="10"/>
  <c r="I193" i="10"/>
  <c r="E196" i="10"/>
  <c r="O197" i="10"/>
  <c r="L199" i="10"/>
  <c r="I201" i="10"/>
  <c r="E204" i="10"/>
  <c r="O205" i="10"/>
  <c r="L207" i="10"/>
  <c r="I209" i="10"/>
  <c r="L136" i="10"/>
  <c r="I138" i="10"/>
  <c r="E141" i="10"/>
  <c r="O142" i="10"/>
  <c r="L144" i="10"/>
  <c r="I146" i="10"/>
  <c r="E149" i="10"/>
  <c r="O150" i="10"/>
  <c r="L152" i="10"/>
  <c r="I154" i="10"/>
  <c r="E157" i="10"/>
  <c r="O158" i="10"/>
  <c r="L160" i="10"/>
  <c r="I162" i="10"/>
  <c r="E165" i="10"/>
  <c r="O166" i="10"/>
  <c r="L168" i="10"/>
  <c r="I170" i="10"/>
  <c r="E173" i="10"/>
  <c r="O174" i="10"/>
  <c r="L176" i="10"/>
  <c r="I178" i="10"/>
  <c r="E181" i="10"/>
  <c r="O182" i="10"/>
  <c r="L184" i="10"/>
  <c r="I186" i="10"/>
  <c r="E189" i="10"/>
  <c r="O190" i="10"/>
  <c r="L192" i="10"/>
  <c r="I194" i="10"/>
  <c r="E197" i="10"/>
  <c r="O198" i="10"/>
  <c r="L200" i="10"/>
  <c r="I202" i="10"/>
  <c r="E205" i="10"/>
  <c r="O206" i="10"/>
  <c r="L208" i="10"/>
  <c r="L137" i="10"/>
  <c r="I139" i="10"/>
  <c r="E142" i="10"/>
  <c r="O143" i="10"/>
  <c r="L145" i="10"/>
  <c r="I147" i="10"/>
  <c r="E150" i="10"/>
  <c r="O151" i="10"/>
  <c r="L153" i="10"/>
  <c r="I155" i="10"/>
  <c r="E158" i="10"/>
  <c r="O159" i="10"/>
  <c r="L161" i="10"/>
  <c r="I163" i="10"/>
  <c r="E166" i="10"/>
  <c r="O167" i="10"/>
  <c r="L169" i="10"/>
  <c r="I171" i="10"/>
  <c r="E174" i="10"/>
  <c r="O175" i="10"/>
  <c r="L177" i="10"/>
  <c r="I179" i="10"/>
  <c r="E182" i="10"/>
  <c r="O183" i="10"/>
  <c r="L185" i="10"/>
  <c r="I187" i="10"/>
  <c r="E190" i="10"/>
  <c r="O191" i="10"/>
  <c r="L193" i="10"/>
  <c r="I195" i="10"/>
  <c r="E198" i="10"/>
  <c r="O199" i="10"/>
  <c r="L201" i="10"/>
  <c r="I203" i="10"/>
  <c r="E206" i="10"/>
  <c r="O207" i="10"/>
  <c r="L209" i="10"/>
  <c r="L146" i="10"/>
  <c r="O136" i="10"/>
  <c r="I140" i="10"/>
  <c r="O144" i="10"/>
  <c r="I148" i="10"/>
  <c r="O152" i="10"/>
  <c r="I156" i="10"/>
  <c r="O160" i="10"/>
  <c r="I164" i="10"/>
  <c r="O168" i="10"/>
  <c r="I172" i="10"/>
  <c r="O176" i="10"/>
  <c r="I180" i="10"/>
  <c r="O184" i="10"/>
  <c r="I188" i="10"/>
  <c r="O192" i="10"/>
  <c r="I196" i="10"/>
  <c r="O200" i="10"/>
  <c r="I204" i="10"/>
  <c r="O208" i="10"/>
  <c r="E151" i="10"/>
  <c r="L202" i="10"/>
  <c r="L154" i="10"/>
  <c r="L138" i="10"/>
  <c r="E159" i="10"/>
  <c r="E167" i="10"/>
  <c r="E175" i="10"/>
  <c r="E183" i="10"/>
  <c r="E191" i="10"/>
  <c r="E199" i="10"/>
  <c r="E143" i="10"/>
  <c r="L162" i="10"/>
  <c r="L170" i="10"/>
  <c r="L178" i="10"/>
  <c r="L186" i="10"/>
  <c r="L194" i="10"/>
  <c r="E207" i="10"/>
  <c r="E91" i="10"/>
  <c r="O92" i="10"/>
  <c r="L94" i="10"/>
  <c r="I96" i="10"/>
  <c r="E99" i="10"/>
  <c r="O100" i="10"/>
  <c r="L102" i="10"/>
  <c r="I104" i="10"/>
  <c r="E107" i="10"/>
  <c r="O108" i="10"/>
  <c r="L110" i="10"/>
  <c r="I112" i="10"/>
  <c r="E106" i="10"/>
  <c r="E92" i="10"/>
  <c r="O93" i="10"/>
  <c r="L95" i="10"/>
  <c r="I97" i="10"/>
  <c r="E100" i="10"/>
  <c r="O101" i="10"/>
  <c r="L103" i="10"/>
  <c r="I105" i="10"/>
  <c r="E108" i="10"/>
  <c r="O109" i="10"/>
  <c r="L111" i="10"/>
  <c r="I113" i="10"/>
  <c r="E98" i="10"/>
  <c r="L101" i="10"/>
  <c r="E93" i="10"/>
  <c r="O94" i="10"/>
  <c r="L96" i="10"/>
  <c r="I98" i="10"/>
  <c r="E101" i="10"/>
  <c r="O102" i="10"/>
  <c r="L104" i="10"/>
  <c r="I106" i="10"/>
  <c r="E109" i="10"/>
  <c r="O110" i="10"/>
  <c r="L112" i="10"/>
  <c r="I114" i="10"/>
  <c r="I95" i="10"/>
  <c r="I103" i="10"/>
  <c r="I111" i="10"/>
  <c r="I91" i="10"/>
  <c r="E94" i="10"/>
  <c r="O95" i="10"/>
  <c r="L97" i="10"/>
  <c r="I99" i="10"/>
  <c r="E102" i="10"/>
  <c r="O103" i="10"/>
  <c r="L105" i="10"/>
  <c r="I107" i="10"/>
  <c r="E110" i="10"/>
  <c r="O111" i="10"/>
  <c r="L113" i="10"/>
  <c r="I92" i="10"/>
  <c r="E95" i="10"/>
  <c r="O96" i="10"/>
  <c r="L98" i="10"/>
  <c r="I100" i="10"/>
  <c r="E103" i="10"/>
  <c r="O104" i="10"/>
  <c r="L106" i="10"/>
  <c r="I108" i="10"/>
  <c r="E111" i="10"/>
  <c r="O112" i="10"/>
  <c r="L114" i="10"/>
  <c r="L93" i="10"/>
  <c r="O107" i="10"/>
  <c r="E114" i="10"/>
  <c r="L91" i="10"/>
  <c r="I93" i="10"/>
  <c r="E96" i="10"/>
  <c r="O97" i="10"/>
  <c r="L99" i="10"/>
  <c r="I101" i="10"/>
  <c r="E104" i="10"/>
  <c r="O105" i="10"/>
  <c r="L107" i="10"/>
  <c r="I109" i="10"/>
  <c r="E112" i="10"/>
  <c r="O113" i="10"/>
  <c r="L109" i="10"/>
  <c r="L92" i="10"/>
  <c r="I94" i="10"/>
  <c r="E97" i="10"/>
  <c r="O98" i="10"/>
  <c r="L100" i="10"/>
  <c r="I102" i="10"/>
  <c r="E105" i="10"/>
  <c r="O106" i="10"/>
  <c r="L108" i="10"/>
  <c r="I110" i="10"/>
  <c r="E113" i="10"/>
  <c r="O114" i="10"/>
  <c r="O91" i="10"/>
  <c r="O99" i="10"/>
  <c r="E46" i="10"/>
  <c r="O47" i="10"/>
  <c r="L49" i="10"/>
  <c r="I51" i="10"/>
  <c r="E54" i="10"/>
  <c r="O55" i="10"/>
  <c r="L57" i="10"/>
  <c r="I59" i="10"/>
  <c r="E62" i="10"/>
  <c r="O63" i="10"/>
  <c r="L65" i="10"/>
  <c r="I67" i="10"/>
  <c r="E47" i="10"/>
  <c r="O48" i="10"/>
  <c r="L50" i="10"/>
  <c r="I52" i="10"/>
  <c r="E55" i="10"/>
  <c r="O56" i="10"/>
  <c r="L58" i="10"/>
  <c r="I60" i="10"/>
  <c r="E63" i="10"/>
  <c r="O64" i="10"/>
  <c r="L66" i="10"/>
  <c r="I68" i="10"/>
  <c r="I47" i="10"/>
  <c r="L53" i="10"/>
  <c r="I63" i="10"/>
  <c r="O67" i="10"/>
  <c r="E48" i="10"/>
  <c r="O49" i="10"/>
  <c r="L51" i="10"/>
  <c r="I53" i="10"/>
  <c r="E56" i="10"/>
  <c r="O57" i="10"/>
  <c r="L59" i="10"/>
  <c r="I61" i="10"/>
  <c r="E64" i="10"/>
  <c r="O65" i="10"/>
  <c r="L67" i="10"/>
  <c r="I69" i="10"/>
  <c r="E50" i="10"/>
  <c r="O51" i="10"/>
  <c r="I55" i="10"/>
  <c r="O59" i="10"/>
  <c r="L69" i="10"/>
  <c r="I46" i="10"/>
  <c r="E49" i="10"/>
  <c r="O50" i="10"/>
  <c r="L52" i="10"/>
  <c r="I54" i="10"/>
  <c r="E57" i="10"/>
  <c r="O58" i="10"/>
  <c r="L60" i="10"/>
  <c r="I62" i="10"/>
  <c r="E65" i="10"/>
  <c r="O66" i="10"/>
  <c r="L68" i="10"/>
  <c r="E58" i="10"/>
  <c r="L61" i="10"/>
  <c r="E66" i="10"/>
  <c r="L46" i="10"/>
  <c r="I48" i="10"/>
  <c r="E51" i="10"/>
  <c r="O52" i="10"/>
  <c r="L54" i="10"/>
  <c r="I56" i="10"/>
  <c r="E59" i="10"/>
  <c r="O60" i="10"/>
  <c r="L62" i="10"/>
  <c r="I64" i="10"/>
  <c r="E67" i="10"/>
  <c r="O68" i="10"/>
  <c r="L47" i="10"/>
  <c r="I49" i="10"/>
  <c r="E52" i="10"/>
  <c r="O53" i="10"/>
  <c r="L55" i="10"/>
  <c r="I57" i="10"/>
  <c r="E60" i="10"/>
  <c r="O61" i="10"/>
  <c r="L63" i="10"/>
  <c r="I65" i="10"/>
  <c r="E68" i="10"/>
  <c r="O69" i="10"/>
  <c r="O46" i="10"/>
  <c r="L48" i="10"/>
  <c r="I50" i="10"/>
  <c r="E53" i="10"/>
  <c r="O54" i="10"/>
  <c r="L56" i="10"/>
  <c r="I58" i="10"/>
  <c r="E61" i="10"/>
  <c r="O62" i="10"/>
  <c r="L64" i="10"/>
  <c r="I66" i="10"/>
  <c r="E69" i="10"/>
  <c r="E26" i="10"/>
  <c r="O27" i="10"/>
  <c r="L29" i="10"/>
  <c r="I31" i="10"/>
  <c r="E34" i="10"/>
  <c r="O35" i="10"/>
  <c r="L37" i="10"/>
  <c r="I39" i="10"/>
  <c r="E42" i="10"/>
  <c r="O43" i="10"/>
  <c r="I30" i="10"/>
  <c r="L36" i="10"/>
  <c r="O42" i="10"/>
  <c r="E27" i="10"/>
  <c r="O28" i="10"/>
  <c r="L30" i="10"/>
  <c r="I32" i="10"/>
  <c r="E35" i="10"/>
  <c r="O36" i="10"/>
  <c r="L38" i="10"/>
  <c r="I40" i="10"/>
  <c r="E43" i="10"/>
  <c r="O44" i="10"/>
  <c r="L28" i="10"/>
  <c r="I38" i="10"/>
  <c r="L44" i="10"/>
  <c r="E28" i="10"/>
  <c r="O29" i="10"/>
  <c r="L31" i="10"/>
  <c r="I33" i="10"/>
  <c r="E36" i="10"/>
  <c r="O37" i="10"/>
  <c r="L39" i="10"/>
  <c r="I41" i="10"/>
  <c r="E44" i="10"/>
  <c r="O34" i="10"/>
  <c r="E41" i="10"/>
  <c r="I26" i="10"/>
  <c r="E29" i="10"/>
  <c r="O30" i="10"/>
  <c r="L32" i="10"/>
  <c r="I34" i="10"/>
  <c r="E37" i="10"/>
  <c r="O38" i="10"/>
  <c r="L40" i="10"/>
  <c r="I42" i="10"/>
  <c r="I27" i="10"/>
  <c r="E30" i="10"/>
  <c r="O31" i="10"/>
  <c r="L33" i="10"/>
  <c r="I35" i="10"/>
  <c r="E38" i="10"/>
  <c r="O39" i="10"/>
  <c r="L41" i="10"/>
  <c r="I43" i="10"/>
  <c r="L26" i="10"/>
  <c r="I28" i="10"/>
  <c r="E31" i="10"/>
  <c r="O32" i="10"/>
  <c r="L34" i="10"/>
  <c r="I36" i="10"/>
  <c r="E39" i="10"/>
  <c r="O40" i="10"/>
  <c r="L42" i="10"/>
  <c r="I44" i="10"/>
  <c r="L27" i="10"/>
  <c r="I29" i="10"/>
  <c r="E32" i="10"/>
  <c r="O33" i="10"/>
  <c r="L35" i="10"/>
  <c r="I37" i="10"/>
  <c r="E40" i="10"/>
  <c r="O41" i="10"/>
  <c r="L43" i="10"/>
  <c r="O26" i="10"/>
  <c r="E33" i="10"/>
  <c r="I45" i="10"/>
  <c r="I90" i="20"/>
  <c r="I90" i="10"/>
  <c r="L25" i="10"/>
  <c r="M25" i="15"/>
  <c r="L25" i="20"/>
  <c r="I25" i="20"/>
  <c r="M40" i="15"/>
  <c r="J130" i="15"/>
  <c r="E90" i="20"/>
  <c r="P85" i="15"/>
  <c r="Q85" i="15" s="1"/>
  <c r="J25" i="15"/>
  <c r="P25" i="15"/>
  <c r="G40" i="15"/>
  <c r="F130" i="15"/>
  <c r="L45" i="20"/>
  <c r="F45" i="13"/>
  <c r="P25" i="13"/>
  <c r="M45" i="13"/>
  <c r="M25" i="13"/>
  <c r="L135" i="20"/>
  <c r="E135" i="20"/>
  <c r="G25" i="15"/>
  <c r="O25" i="10"/>
  <c r="I135" i="10"/>
  <c r="L90" i="20"/>
  <c r="J45" i="13"/>
  <c r="O45" i="10"/>
  <c r="E25" i="20"/>
  <c r="J85" i="15"/>
  <c r="O135" i="10"/>
  <c r="O25" i="20"/>
  <c r="I45" i="20"/>
  <c r="L45" i="10"/>
  <c r="F85" i="15"/>
  <c r="I135" i="20"/>
  <c r="E45" i="20"/>
  <c r="P45" i="13"/>
  <c r="M135" i="13"/>
  <c r="E135" i="10"/>
  <c r="I25" i="10"/>
  <c r="F135" i="13"/>
  <c r="F40" i="15"/>
  <c r="E90" i="10"/>
  <c r="E45" i="10"/>
  <c r="P40" i="15"/>
  <c r="Q40" i="15" s="1"/>
  <c r="G130" i="15"/>
  <c r="J40" i="15"/>
  <c r="J25" i="13"/>
  <c r="O135" i="20"/>
  <c r="P130" i="15"/>
  <c r="O90" i="10"/>
  <c r="M130" i="15"/>
  <c r="L135" i="10"/>
  <c r="G85" i="15"/>
  <c r="M85" i="15"/>
  <c r="N85" i="15" s="1"/>
  <c r="O90" i="20"/>
  <c r="E25" i="10"/>
  <c r="O45" i="20"/>
  <c r="P135" i="13"/>
  <c r="Q135" i="13" s="1"/>
  <c r="K130" i="15"/>
  <c r="J135" i="13"/>
  <c r="L90" i="10"/>
  <c r="F25" i="15"/>
  <c r="H25" i="15" s="1"/>
  <c r="G200" i="10" l="1"/>
  <c r="G136" i="10"/>
  <c r="G68" i="10"/>
  <c r="G192" i="10"/>
  <c r="G60" i="10"/>
  <c r="G184" i="10"/>
  <c r="G52" i="10"/>
  <c r="G176" i="10"/>
  <c r="G113" i="10"/>
  <c r="G168" i="10"/>
  <c r="G105" i="10"/>
  <c r="G160" i="10"/>
  <c r="G97" i="10"/>
  <c r="G152" i="10"/>
  <c r="G208" i="10"/>
  <c r="G144" i="10"/>
  <c r="G67" i="10"/>
  <c r="G59" i="10"/>
  <c r="G51" i="10"/>
  <c r="G112" i="10"/>
  <c r="G104" i="10"/>
  <c r="G96" i="10"/>
  <c r="G207" i="10"/>
  <c r="G199" i="10"/>
  <c r="G191" i="10"/>
  <c r="G183" i="10"/>
  <c r="G175" i="10"/>
  <c r="G167" i="10"/>
  <c r="G159" i="10"/>
  <c r="G151" i="10"/>
  <c r="G143" i="10"/>
  <c r="G66" i="10"/>
  <c r="G58" i="10"/>
  <c r="G50" i="10"/>
  <c r="G111" i="10"/>
  <c r="G103" i="10"/>
  <c r="G95" i="10"/>
  <c r="G206" i="10"/>
  <c r="G198" i="10"/>
  <c r="G190" i="10"/>
  <c r="G182" i="10"/>
  <c r="G174" i="10"/>
  <c r="G166" i="10"/>
  <c r="G158" i="10"/>
  <c r="G150" i="10"/>
  <c r="G142" i="10"/>
  <c r="G65" i="10"/>
  <c r="G57" i="10"/>
  <c r="G49" i="10"/>
  <c r="G110" i="10"/>
  <c r="G102" i="10"/>
  <c r="G94" i="10"/>
  <c r="G205" i="10"/>
  <c r="G197" i="10"/>
  <c r="G189" i="10"/>
  <c r="G181" i="10"/>
  <c r="G173" i="10"/>
  <c r="G165" i="10"/>
  <c r="G157" i="10"/>
  <c r="G149" i="10"/>
  <c r="G141" i="10"/>
  <c r="G64" i="10"/>
  <c r="G56" i="10"/>
  <c r="G48" i="10"/>
  <c r="G109" i="10"/>
  <c r="G101" i="10"/>
  <c r="G93" i="10"/>
  <c r="G204" i="10"/>
  <c r="G196" i="10"/>
  <c r="G188" i="10"/>
  <c r="G180" i="10"/>
  <c r="G172" i="10"/>
  <c r="G164" i="10"/>
  <c r="G156" i="10"/>
  <c r="G148" i="10"/>
  <c r="G140" i="10"/>
  <c r="G63" i="10"/>
  <c r="G55" i="10"/>
  <c r="G47" i="10"/>
  <c r="G108" i="10"/>
  <c r="G100" i="10"/>
  <c r="G92" i="10"/>
  <c r="G203" i="10"/>
  <c r="G195" i="10"/>
  <c r="G187" i="10"/>
  <c r="G179" i="10"/>
  <c r="G171" i="10"/>
  <c r="G163" i="10"/>
  <c r="G155" i="10"/>
  <c r="G147" i="10"/>
  <c r="G139" i="10"/>
  <c r="G62" i="10"/>
  <c r="G54" i="10"/>
  <c r="G46" i="10"/>
  <c r="G107" i="10"/>
  <c r="G99" i="10"/>
  <c r="G91" i="10"/>
  <c r="G202" i="10"/>
  <c r="G194" i="10"/>
  <c r="G186" i="10"/>
  <c r="G178" i="10"/>
  <c r="G170" i="10"/>
  <c r="G162" i="10"/>
  <c r="G154" i="10"/>
  <c r="G146" i="10"/>
  <c r="G138" i="10"/>
  <c r="G69" i="10"/>
  <c r="G61" i="10"/>
  <c r="G53" i="10"/>
  <c r="G114" i="10"/>
  <c r="G106" i="10"/>
  <c r="G98" i="10"/>
  <c r="G209" i="10"/>
  <c r="G201" i="10"/>
  <c r="G193" i="10"/>
  <c r="G185" i="10"/>
  <c r="G177" i="10"/>
  <c r="G169" i="10"/>
  <c r="G161" i="10"/>
  <c r="G153" i="10"/>
  <c r="G145" i="10"/>
  <c r="G137" i="10"/>
  <c r="AJ36" i="20"/>
  <c r="AJ35" i="20" s="1"/>
  <c r="G45" i="20"/>
  <c r="G143" i="20"/>
  <c r="G151" i="20"/>
  <c r="G159" i="20"/>
  <c r="G167" i="20"/>
  <c r="G175" i="20"/>
  <c r="G183" i="20"/>
  <c r="G191" i="20"/>
  <c r="G199" i="20"/>
  <c r="G207" i="20"/>
  <c r="G96" i="20"/>
  <c r="G104" i="20"/>
  <c r="G112" i="20"/>
  <c r="G51" i="20"/>
  <c r="G59" i="20"/>
  <c r="G67" i="20"/>
  <c r="G157" i="20"/>
  <c r="G197" i="20"/>
  <c r="G49" i="20"/>
  <c r="G136" i="20"/>
  <c r="G144" i="20"/>
  <c r="G152" i="20"/>
  <c r="G160" i="20"/>
  <c r="G168" i="20"/>
  <c r="G176" i="20"/>
  <c r="G184" i="20"/>
  <c r="G192" i="20"/>
  <c r="G200" i="20"/>
  <c r="G208" i="20"/>
  <c r="G97" i="20"/>
  <c r="G105" i="20"/>
  <c r="G113" i="20"/>
  <c r="G52" i="20"/>
  <c r="G60" i="20"/>
  <c r="G68" i="20"/>
  <c r="G173" i="20"/>
  <c r="G181" i="20"/>
  <c r="G205" i="20"/>
  <c r="G57" i="20"/>
  <c r="G142" i="20"/>
  <c r="G198" i="20"/>
  <c r="G111" i="20"/>
  <c r="G66" i="20"/>
  <c r="G137" i="20"/>
  <c r="G145" i="20"/>
  <c r="G153" i="20"/>
  <c r="G161" i="20"/>
  <c r="G169" i="20"/>
  <c r="G177" i="20"/>
  <c r="G185" i="20"/>
  <c r="G193" i="20"/>
  <c r="G201" i="20"/>
  <c r="G209" i="20"/>
  <c r="G98" i="20"/>
  <c r="G106" i="20"/>
  <c r="G114" i="20"/>
  <c r="G53" i="20"/>
  <c r="G61" i="20"/>
  <c r="G69" i="20"/>
  <c r="G165" i="20"/>
  <c r="G189" i="20"/>
  <c r="G94" i="20"/>
  <c r="G65" i="20"/>
  <c r="G138" i="20"/>
  <c r="G146" i="20"/>
  <c r="G154" i="20"/>
  <c r="G162" i="20"/>
  <c r="G170" i="20"/>
  <c r="G178" i="20"/>
  <c r="G186" i="20"/>
  <c r="G194" i="20"/>
  <c r="G202" i="20"/>
  <c r="G91" i="20"/>
  <c r="G99" i="20"/>
  <c r="G107" i="20"/>
  <c r="G46" i="20"/>
  <c r="G54" i="20"/>
  <c r="G62" i="20"/>
  <c r="G139" i="20"/>
  <c r="G147" i="20"/>
  <c r="G155" i="20"/>
  <c r="G163" i="20"/>
  <c r="G171" i="20"/>
  <c r="G179" i="20"/>
  <c r="G187" i="20"/>
  <c r="G195" i="20"/>
  <c r="G203" i="20"/>
  <c r="G92" i="20"/>
  <c r="G100" i="20"/>
  <c r="G108" i="20"/>
  <c r="G47" i="20"/>
  <c r="G55" i="20"/>
  <c r="G63" i="20"/>
  <c r="G149" i="20"/>
  <c r="G102" i="20"/>
  <c r="G158" i="20"/>
  <c r="G166" i="20"/>
  <c r="G182" i="20"/>
  <c r="G206" i="20"/>
  <c r="G50" i="20"/>
  <c r="G140" i="20"/>
  <c r="G148" i="20"/>
  <c r="G156" i="20"/>
  <c r="G164" i="20"/>
  <c r="G172" i="20"/>
  <c r="G180" i="20"/>
  <c r="G188" i="20"/>
  <c r="G196" i="20"/>
  <c r="G204" i="20"/>
  <c r="G93" i="20"/>
  <c r="G101" i="20"/>
  <c r="G109" i="20"/>
  <c r="G48" i="20"/>
  <c r="G56" i="20"/>
  <c r="G64" i="20"/>
  <c r="G141" i="20"/>
  <c r="G110" i="20"/>
  <c r="G150" i="20"/>
  <c r="G174" i="20"/>
  <c r="G190" i="20"/>
  <c r="G95" i="20"/>
  <c r="G103" i="20"/>
  <c r="G58" i="20"/>
  <c r="AC36" i="20"/>
  <c r="AC35" i="20" s="1"/>
  <c r="AC33" i="20" s="1"/>
  <c r="AC15" i="20"/>
  <c r="AC14" i="20" s="1"/>
  <c r="AD14" i="20" s="1"/>
  <c r="AC53" i="20"/>
  <c r="AD53" i="20" s="1"/>
  <c r="AD70" i="20"/>
  <c r="AC69" i="20"/>
  <c r="AC68" i="20" s="1"/>
  <c r="AC71" i="20"/>
  <c r="AD71" i="20" s="1"/>
  <c r="AJ54" i="20"/>
  <c r="AK54" i="20" s="1"/>
  <c r="AJ70" i="20"/>
  <c r="AK70" i="20" s="1"/>
  <c r="AJ14" i="20"/>
  <c r="AJ13" i="20" s="1"/>
  <c r="AK15" i="20"/>
  <c r="F12" i="20"/>
  <c r="X8" i="20"/>
  <c r="G23" i="13"/>
  <c r="T3" i="13"/>
  <c r="AK70" i="13"/>
  <c r="AK71" i="13" s="1"/>
  <c r="AL71" i="13" s="1"/>
  <c r="AK54" i="13"/>
  <c r="AK53" i="13" s="1"/>
  <c r="AL53" i="13" s="1"/>
  <c r="AD70" i="13"/>
  <c r="Y8" i="13"/>
  <c r="AD54" i="13"/>
  <c r="AE54" i="13" s="1"/>
  <c r="AD35" i="13"/>
  <c r="AK15" i="13"/>
  <c r="AL15" i="13" s="1"/>
  <c r="AL70" i="13"/>
  <c r="AE53" i="13"/>
  <c r="AK69" i="13"/>
  <c r="AK68" i="13" s="1"/>
  <c r="H12" i="13"/>
  <c r="F207" i="10"/>
  <c r="F299" i="10"/>
  <c r="M194" i="10"/>
  <c r="M286" i="10"/>
  <c r="M186" i="10"/>
  <c r="M278" i="10"/>
  <c r="M178" i="10"/>
  <c r="M270" i="10"/>
  <c r="M170" i="10"/>
  <c r="M262" i="10"/>
  <c r="M162" i="10"/>
  <c r="M254" i="10"/>
  <c r="F143" i="10"/>
  <c r="F235" i="10"/>
  <c r="F199" i="10"/>
  <c r="F291" i="10"/>
  <c r="F191" i="10"/>
  <c r="F283" i="10"/>
  <c r="F183" i="10"/>
  <c r="F275" i="10"/>
  <c r="F175" i="10"/>
  <c r="F267" i="10"/>
  <c r="F167" i="10"/>
  <c r="F259" i="10"/>
  <c r="F159" i="10"/>
  <c r="F251" i="10"/>
  <c r="M138" i="10"/>
  <c r="M230" i="10"/>
  <c r="M154" i="10"/>
  <c r="M246" i="10"/>
  <c r="M202" i="10"/>
  <c r="M294" i="10"/>
  <c r="F151" i="10"/>
  <c r="F243" i="10"/>
  <c r="P208" i="10"/>
  <c r="P300" i="10"/>
  <c r="J204" i="10"/>
  <c r="J296" i="10"/>
  <c r="P200" i="10"/>
  <c r="P292" i="10"/>
  <c r="J196" i="10"/>
  <c r="J288" i="10"/>
  <c r="P192" i="10"/>
  <c r="P284" i="10"/>
  <c r="J188" i="10"/>
  <c r="J280" i="10"/>
  <c r="P184" i="10"/>
  <c r="P276" i="10"/>
  <c r="J180" i="10"/>
  <c r="J272" i="10"/>
  <c r="P176" i="10"/>
  <c r="P268" i="10"/>
  <c r="J172" i="10"/>
  <c r="J264" i="10"/>
  <c r="P168" i="10"/>
  <c r="P260" i="10"/>
  <c r="J164" i="10"/>
  <c r="J256" i="10"/>
  <c r="P160" i="10"/>
  <c r="P252" i="10"/>
  <c r="J156" i="10"/>
  <c r="J248" i="10"/>
  <c r="P152" i="10"/>
  <c r="P244" i="10"/>
  <c r="J148" i="10"/>
  <c r="J240" i="10"/>
  <c r="P144" i="10"/>
  <c r="P236" i="10"/>
  <c r="J140" i="10"/>
  <c r="J232" i="10"/>
  <c r="P136" i="10"/>
  <c r="P228" i="10"/>
  <c r="M146" i="10"/>
  <c r="M238" i="10"/>
  <c r="M301" i="10"/>
  <c r="M209" i="10"/>
  <c r="P299" i="10"/>
  <c r="P207" i="10"/>
  <c r="F206" i="10"/>
  <c r="F298" i="10"/>
  <c r="J295" i="10"/>
  <c r="J203" i="10"/>
  <c r="M293" i="10"/>
  <c r="M201" i="10"/>
  <c r="P291" i="10"/>
  <c r="P199" i="10"/>
  <c r="F198" i="10"/>
  <c r="F290" i="10"/>
  <c r="J287" i="10"/>
  <c r="J195" i="10"/>
  <c r="M285" i="10"/>
  <c r="M193" i="10"/>
  <c r="P283" i="10"/>
  <c r="P191" i="10"/>
  <c r="F190" i="10"/>
  <c r="F282" i="10"/>
  <c r="J279" i="10"/>
  <c r="J187" i="10"/>
  <c r="M277" i="10"/>
  <c r="M185" i="10"/>
  <c r="P275" i="10"/>
  <c r="P183" i="10"/>
  <c r="F182" i="10"/>
  <c r="F274" i="10"/>
  <c r="J271" i="10"/>
  <c r="J179" i="10"/>
  <c r="M269" i="10"/>
  <c r="M177" i="10"/>
  <c r="P267" i="10"/>
  <c r="P175" i="10"/>
  <c r="F174" i="10"/>
  <c r="F266" i="10"/>
  <c r="J263" i="10"/>
  <c r="J171" i="10"/>
  <c r="M261" i="10"/>
  <c r="M169" i="10"/>
  <c r="P259" i="10"/>
  <c r="P167" i="10"/>
  <c r="F166" i="10"/>
  <c r="F258" i="10"/>
  <c r="J255" i="10"/>
  <c r="J163" i="10"/>
  <c r="M253" i="10"/>
  <c r="M161" i="10"/>
  <c r="P251" i="10"/>
  <c r="P159" i="10"/>
  <c r="F250" i="10"/>
  <c r="F158" i="10"/>
  <c r="J247" i="10"/>
  <c r="J155" i="10"/>
  <c r="M245" i="10"/>
  <c r="M153" i="10"/>
  <c r="P243" i="10"/>
  <c r="P151" i="10"/>
  <c r="F242" i="10"/>
  <c r="F150" i="10"/>
  <c r="J239" i="10"/>
  <c r="J147" i="10"/>
  <c r="M237" i="10"/>
  <c r="M145" i="10"/>
  <c r="P235" i="10"/>
  <c r="P143" i="10"/>
  <c r="F234" i="10"/>
  <c r="F142" i="10"/>
  <c r="J231" i="10"/>
  <c r="J139" i="10"/>
  <c r="M229" i="10"/>
  <c r="M137" i="10"/>
  <c r="M208" i="10"/>
  <c r="M300" i="10"/>
  <c r="P206" i="10"/>
  <c r="P298" i="10"/>
  <c r="F205" i="10"/>
  <c r="F297" i="10"/>
  <c r="J202" i="10"/>
  <c r="J294" i="10"/>
  <c r="M200" i="10"/>
  <c r="M292" i="10"/>
  <c r="P198" i="10"/>
  <c r="P290" i="10"/>
  <c r="F197" i="10"/>
  <c r="F289" i="10"/>
  <c r="J194" i="10"/>
  <c r="J286" i="10"/>
  <c r="M192" i="10"/>
  <c r="M284" i="10"/>
  <c r="P190" i="10"/>
  <c r="P282" i="10"/>
  <c r="F189" i="10"/>
  <c r="F281" i="10"/>
  <c r="J186" i="10"/>
  <c r="J278" i="10"/>
  <c r="M184" i="10"/>
  <c r="M276" i="10"/>
  <c r="P182" i="10"/>
  <c r="P274" i="10"/>
  <c r="F181" i="10"/>
  <c r="F273" i="10"/>
  <c r="J178" i="10"/>
  <c r="J270" i="10"/>
  <c r="M176" i="10"/>
  <c r="M268" i="10"/>
  <c r="P174" i="10"/>
  <c r="P266" i="10"/>
  <c r="F173" i="10"/>
  <c r="F265" i="10"/>
  <c r="J170" i="10"/>
  <c r="J262" i="10"/>
  <c r="M168" i="10"/>
  <c r="M260" i="10"/>
  <c r="P166" i="10"/>
  <c r="P258" i="10"/>
  <c r="F165" i="10"/>
  <c r="F257" i="10"/>
  <c r="J162" i="10"/>
  <c r="J254" i="10"/>
  <c r="M160" i="10"/>
  <c r="M252" i="10"/>
  <c r="P158" i="10"/>
  <c r="P250" i="10"/>
  <c r="F157" i="10"/>
  <c r="F249" i="10"/>
  <c r="J246" i="10"/>
  <c r="J154" i="10"/>
  <c r="M244" i="10"/>
  <c r="M152" i="10"/>
  <c r="P150" i="10"/>
  <c r="P242" i="10"/>
  <c r="F241" i="10"/>
  <c r="F149" i="10"/>
  <c r="J238" i="10"/>
  <c r="J146" i="10"/>
  <c r="M236" i="10"/>
  <c r="M144" i="10"/>
  <c r="P142" i="10"/>
  <c r="P234" i="10"/>
  <c r="F233" i="10"/>
  <c r="F141" i="10"/>
  <c r="J230" i="10"/>
  <c r="J138" i="10"/>
  <c r="M228" i="10"/>
  <c r="M136" i="10"/>
  <c r="J209" i="10"/>
  <c r="J301" i="10"/>
  <c r="M207" i="10"/>
  <c r="M299" i="10"/>
  <c r="P205" i="10"/>
  <c r="P297" i="10"/>
  <c r="F204" i="10"/>
  <c r="F296" i="10"/>
  <c r="J201" i="10"/>
  <c r="J293" i="10"/>
  <c r="M199" i="10"/>
  <c r="M291" i="10"/>
  <c r="P197" i="10"/>
  <c r="P289" i="10"/>
  <c r="F196" i="10"/>
  <c r="F288" i="10"/>
  <c r="J193" i="10"/>
  <c r="J285" i="10"/>
  <c r="M191" i="10"/>
  <c r="M283" i="10"/>
  <c r="P189" i="10"/>
  <c r="P281" i="10"/>
  <c r="F188" i="10"/>
  <c r="F280" i="10"/>
  <c r="J185" i="10"/>
  <c r="J277" i="10"/>
  <c r="M183" i="10"/>
  <c r="M275" i="10"/>
  <c r="P181" i="10"/>
  <c r="P273" i="10"/>
  <c r="F180" i="10"/>
  <c r="F272" i="10"/>
  <c r="J177" i="10"/>
  <c r="J269" i="10"/>
  <c r="M175" i="10"/>
  <c r="M267" i="10"/>
  <c r="P173" i="10"/>
  <c r="P265" i="10"/>
  <c r="F172" i="10"/>
  <c r="F264" i="10"/>
  <c r="J169" i="10"/>
  <c r="J261" i="10"/>
  <c r="M167" i="10"/>
  <c r="M259" i="10"/>
  <c r="P165" i="10"/>
  <c r="P257" i="10"/>
  <c r="F164" i="10"/>
  <c r="F256" i="10"/>
  <c r="J161" i="10"/>
  <c r="J253" i="10"/>
  <c r="M159" i="10"/>
  <c r="M251" i="10"/>
  <c r="P157" i="10"/>
  <c r="P249" i="10"/>
  <c r="F248" i="10"/>
  <c r="F156" i="10"/>
  <c r="J245" i="10"/>
  <c r="J153" i="10"/>
  <c r="M243" i="10"/>
  <c r="M151" i="10"/>
  <c r="P149" i="10"/>
  <c r="P241" i="10"/>
  <c r="F240" i="10"/>
  <c r="F148" i="10"/>
  <c r="J237" i="10"/>
  <c r="J145" i="10"/>
  <c r="M235" i="10"/>
  <c r="M143" i="10"/>
  <c r="P141" i="10"/>
  <c r="P233" i="10"/>
  <c r="F232" i="10"/>
  <c r="F140" i="10"/>
  <c r="J229" i="10"/>
  <c r="J137" i="10"/>
  <c r="J208" i="10"/>
  <c r="J300" i="10"/>
  <c r="M206" i="10"/>
  <c r="M298" i="10"/>
  <c r="P204" i="10"/>
  <c r="P296" i="10"/>
  <c r="F203" i="10"/>
  <c r="F295" i="10"/>
  <c r="J200" i="10"/>
  <c r="J292" i="10"/>
  <c r="M198" i="10"/>
  <c r="M290" i="10"/>
  <c r="P196" i="10"/>
  <c r="P288" i="10"/>
  <c r="F195" i="10"/>
  <c r="F287" i="10"/>
  <c r="J192" i="10"/>
  <c r="J284" i="10"/>
  <c r="M190" i="10"/>
  <c r="M282" i="10"/>
  <c r="P188" i="10"/>
  <c r="P280" i="10"/>
  <c r="F187" i="10"/>
  <c r="F279" i="10"/>
  <c r="J184" i="10"/>
  <c r="J276" i="10"/>
  <c r="M182" i="10"/>
  <c r="M274" i="10"/>
  <c r="P180" i="10"/>
  <c r="P272" i="10"/>
  <c r="F179" i="10"/>
  <c r="F271" i="10"/>
  <c r="J176" i="10"/>
  <c r="J268" i="10"/>
  <c r="M174" i="10"/>
  <c r="M266" i="10"/>
  <c r="P172" i="10"/>
  <c r="P264" i="10"/>
  <c r="F171" i="10"/>
  <c r="F263" i="10"/>
  <c r="J168" i="10"/>
  <c r="J260" i="10"/>
  <c r="M166" i="10"/>
  <c r="M258" i="10"/>
  <c r="P164" i="10"/>
  <c r="P256" i="10"/>
  <c r="F163" i="10"/>
  <c r="F255" i="10"/>
  <c r="J160" i="10"/>
  <c r="J252" i="10"/>
  <c r="M158" i="10"/>
  <c r="M250" i="10"/>
  <c r="P156" i="10"/>
  <c r="P248" i="10"/>
  <c r="F247" i="10"/>
  <c r="F155" i="10"/>
  <c r="J244" i="10"/>
  <c r="J152" i="10"/>
  <c r="M150" i="10"/>
  <c r="M242" i="10"/>
  <c r="P148" i="10"/>
  <c r="P240" i="10"/>
  <c r="F239" i="10"/>
  <c r="F147" i="10"/>
  <c r="J236" i="10"/>
  <c r="J144" i="10"/>
  <c r="M142" i="10"/>
  <c r="M234" i="10"/>
  <c r="P140" i="10"/>
  <c r="P232" i="10"/>
  <c r="F231" i="10"/>
  <c r="F139" i="10"/>
  <c r="J228" i="10"/>
  <c r="J136" i="10"/>
  <c r="J207" i="10"/>
  <c r="J299" i="10"/>
  <c r="M205" i="10"/>
  <c r="M297" i="10"/>
  <c r="P203" i="10"/>
  <c r="P295" i="10"/>
  <c r="F202" i="10"/>
  <c r="F294" i="10"/>
  <c r="J199" i="10"/>
  <c r="J291" i="10"/>
  <c r="M197" i="10"/>
  <c r="M289" i="10"/>
  <c r="P195" i="10"/>
  <c r="P287" i="10"/>
  <c r="F194" i="10"/>
  <c r="F286" i="10"/>
  <c r="J191" i="10"/>
  <c r="J283" i="10"/>
  <c r="M189" i="10"/>
  <c r="M281" i="10"/>
  <c r="P187" i="10"/>
  <c r="P279" i="10"/>
  <c r="F186" i="10"/>
  <c r="F278" i="10"/>
  <c r="J183" i="10"/>
  <c r="J275" i="10"/>
  <c r="M181" i="10"/>
  <c r="M273" i="10"/>
  <c r="P179" i="10"/>
  <c r="P271" i="10"/>
  <c r="F178" i="10"/>
  <c r="F270" i="10"/>
  <c r="J175" i="10"/>
  <c r="J267" i="10"/>
  <c r="M173" i="10"/>
  <c r="M265" i="10"/>
  <c r="P171" i="10"/>
  <c r="P263" i="10"/>
  <c r="F170" i="10"/>
  <c r="F262" i="10"/>
  <c r="J167" i="10"/>
  <c r="J259" i="10"/>
  <c r="M165" i="10"/>
  <c r="M257" i="10"/>
  <c r="P163" i="10"/>
  <c r="P255" i="10"/>
  <c r="F162" i="10"/>
  <c r="F254" i="10"/>
  <c r="J159" i="10"/>
  <c r="J251" i="10"/>
  <c r="M157" i="10"/>
  <c r="M249" i="10"/>
  <c r="P155" i="10"/>
  <c r="P247" i="10"/>
  <c r="F246" i="10"/>
  <c r="F154" i="10"/>
  <c r="J243" i="10"/>
  <c r="J151" i="10"/>
  <c r="M149" i="10"/>
  <c r="M241" i="10"/>
  <c r="P147" i="10"/>
  <c r="P239" i="10"/>
  <c r="F238" i="10"/>
  <c r="F146" i="10"/>
  <c r="J235" i="10"/>
  <c r="J143" i="10"/>
  <c r="M141" i="10"/>
  <c r="M233" i="10"/>
  <c r="P139" i="10"/>
  <c r="P231" i="10"/>
  <c r="F230" i="10"/>
  <c r="F138" i="10"/>
  <c r="F209" i="10"/>
  <c r="F301" i="10"/>
  <c r="J206" i="10"/>
  <c r="J298" i="10"/>
  <c r="M204" i="10"/>
  <c r="M296" i="10"/>
  <c r="P202" i="10"/>
  <c r="P294" i="10"/>
  <c r="F201" i="10"/>
  <c r="F293" i="10"/>
  <c r="J198" i="10"/>
  <c r="J290" i="10"/>
  <c r="M196" i="10"/>
  <c r="M288" i="10"/>
  <c r="P194" i="10"/>
  <c r="P286" i="10"/>
  <c r="F193" i="10"/>
  <c r="F285" i="10"/>
  <c r="J190" i="10"/>
  <c r="J282" i="10"/>
  <c r="M188" i="10"/>
  <c r="M280" i="10"/>
  <c r="P186" i="10"/>
  <c r="P278" i="10"/>
  <c r="F185" i="10"/>
  <c r="F277" i="10"/>
  <c r="J182" i="10"/>
  <c r="J274" i="10"/>
  <c r="M180" i="10"/>
  <c r="M272" i="10"/>
  <c r="P178" i="10"/>
  <c r="P270" i="10"/>
  <c r="F177" i="10"/>
  <c r="F269" i="10"/>
  <c r="J174" i="10"/>
  <c r="J266" i="10"/>
  <c r="M172" i="10"/>
  <c r="M264" i="10"/>
  <c r="P170" i="10"/>
  <c r="P262" i="10"/>
  <c r="F169" i="10"/>
  <c r="F261" i="10"/>
  <c r="J166" i="10"/>
  <c r="J258" i="10"/>
  <c r="M164" i="10"/>
  <c r="M256" i="10"/>
  <c r="P162" i="10"/>
  <c r="P254" i="10"/>
  <c r="F161" i="10"/>
  <c r="F253" i="10"/>
  <c r="J158" i="10"/>
  <c r="J250" i="10"/>
  <c r="M156" i="10"/>
  <c r="M248" i="10"/>
  <c r="P154" i="10"/>
  <c r="P246" i="10"/>
  <c r="F245" i="10"/>
  <c r="F153" i="10"/>
  <c r="J150" i="10"/>
  <c r="J242" i="10"/>
  <c r="M148" i="10"/>
  <c r="M240" i="10"/>
  <c r="P146" i="10"/>
  <c r="P238" i="10"/>
  <c r="F237" i="10"/>
  <c r="F145" i="10"/>
  <c r="J142" i="10"/>
  <c r="J234" i="10"/>
  <c r="M140" i="10"/>
  <c r="M232" i="10"/>
  <c r="P138" i="10"/>
  <c r="P230" i="10"/>
  <c r="F229" i="10"/>
  <c r="F137" i="10"/>
  <c r="P209" i="10"/>
  <c r="P301" i="10"/>
  <c r="F208" i="10"/>
  <c r="F300" i="10"/>
  <c r="J205" i="10"/>
  <c r="J297" i="10"/>
  <c r="M203" i="10"/>
  <c r="M295" i="10"/>
  <c r="P201" i="10"/>
  <c r="P293" i="10"/>
  <c r="F200" i="10"/>
  <c r="F292" i="10"/>
  <c r="J197" i="10"/>
  <c r="J289" i="10"/>
  <c r="M195" i="10"/>
  <c r="M287" i="10"/>
  <c r="P193" i="10"/>
  <c r="P285" i="10"/>
  <c r="F192" i="10"/>
  <c r="F284" i="10"/>
  <c r="J189" i="10"/>
  <c r="J281" i="10"/>
  <c r="M187" i="10"/>
  <c r="M279" i="10"/>
  <c r="P185" i="10"/>
  <c r="P277" i="10"/>
  <c r="F184" i="10"/>
  <c r="F276" i="10"/>
  <c r="J181" i="10"/>
  <c r="J273" i="10"/>
  <c r="M179" i="10"/>
  <c r="M271" i="10"/>
  <c r="P177" i="10"/>
  <c r="P269" i="10"/>
  <c r="F176" i="10"/>
  <c r="F268" i="10"/>
  <c r="J173" i="10"/>
  <c r="J265" i="10"/>
  <c r="M171" i="10"/>
  <c r="M263" i="10"/>
  <c r="P169" i="10"/>
  <c r="P261" i="10"/>
  <c r="F168" i="10"/>
  <c r="F260" i="10"/>
  <c r="J165" i="10"/>
  <c r="J257" i="10"/>
  <c r="M163" i="10"/>
  <c r="M255" i="10"/>
  <c r="P161" i="10"/>
  <c r="P253" i="10"/>
  <c r="F160" i="10"/>
  <c r="F252" i="10"/>
  <c r="J157" i="10"/>
  <c r="J249" i="10"/>
  <c r="M155" i="10"/>
  <c r="M247" i="10"/>
  <c r="P153" i="10"/>
  <c r="P245" i="10"/>
  <c r="F244" i="10"/>
  <c r="F152" i="10"/>
  <c r="J149" i="10"/>
  <c r="J241" i="10"/>
  <c r="M147" i="10"/>
  <c r="M239" i="10"/>
  <c r="P145" i="10"/>
  <c r="P237" i="10"/>
  <c r="F236" i="10"/>
  <c r="F144" i="10"/>
  <c r="J141" i="10"/>
  <c r="J233" i="10"/>
  <c r="M139" i="10"/>
  <c r="M231" i="10"/>
  <c r="P137" i="10"/>
  <c r="P229" i="10"/>
  <c r="F228" i="10"/>
  <c r="F136" i="10"/>
  <c r="P99" i="10"/>
  <c r="P91" i="10"/>
  <c r="P114" i="10"/>
  <c r="F113" i="10"/>
  <c r="J110" i="10"/>
  <c r="M108" i="10"/>
  <c r="P106" i="10"/>
  <c r="F105" i="10"/>
  <c r="J102" i="10"/>
  <c r="M100" i="10"/>
  <c r="P98" i="10"/>
  <c r="F97" i="10"/>
  <c r="J94" i="10"/>
  <c r="M92" i="10"/>
  <c r="M109" i="10"/>
  <c r="P113" i="10"/>
  <c r="F112" i="10"/>
  <c r="J109" i="10"/>
  <c r="M107" i="10"/>
  <c r="P105" i="10"/>
  <c r="F104" i="10"/>
  <c r="J101" i="10"/>
  <c r="M99" i="10"/>
  <c r="P97" i="10"/>
  <c r="F96" i="10"/>
  <c r="J93" i="10"/>
  <c r="M91" i="10"/>
  <c r="F114" i="10"/>
  <c r="P107" i="10"/>
  <c r="M93" i="10"/>
  <c r="M114" i="10"/>
  <c r="P112" i="10"/>
  <c r="F111" i="10"/>
  <c r="J108" i="10"/>
  <c r="M106" i="10"/>
  <c r="P104" i="10"/>
  <c r="F103" i="10"/>
  <c r="J100" i="10"/>
  <c r="M98" i="10"/>
  <c r="P96" i="10"/>
  <c r="F95" i="10"/>
  <c r="J92" i="10"/>
  <c r="M113" i="10"/>
  <c r="P111" i="10"/>
  <c r="F110" i="10"/>
  <c r="J107" i="10"/>
  <c r="M105" i="10"/>
  <c r="P103" i="10"/>
  <c r="F102" i="10"/>
  <c r="J99" i="10"/>
  <c r="M97" i="10"/>
  <c r="P95" i="10"/>
  <c r="F94" i="10"/>
  <c r="J91" i="10"/>
  <c r="J111" i="10"/>
  <c r="J103" i="10"/>
  <c r="J95" i="10"/>
  <c r="J114" i="10"/>
  <c r="M112" i="10"/>
  <c r="P110" i="10"/>
  <c r="F109" i="10"/>
  <c r="J106" i="10"/>
  <c r="M104" i="10"/>
  <c r="P102" i="10"/>
  <c r="F101" i="10"/>
  <c r="J98" i="10"/>
  <c r="M96" i="10"/>
  <c r="P94" i="10"/>
  <c r="F93" i="10"/>
  <c r="M101" i="10"/>
  <c r="F98" i="10"/>
  <c r="J113" i="10"/>
  <c r="M111" i="10"/>
  <c r="P109" i="10"/>
  <c r="F108" i="10"/>
  <c r="J105" i="10"/>
  <c r="M103" i="10"/>
  <c r="P101" i="10"/>
  <c r="F100" i="10"/>
  <c r="J97" i="10"/>
  <c r="M95" i="10"/>
  <c r="P93" i="10"/>
  <c r="F92" i="10"/>
  <c r="F106" i="10"/>
  <c r="J112" i="10"/>
  <c r="M110" i="10"/>
  <c r="P108" i="10"/>
  <c r="F107" i="10"/>
  <c r="J104" i="10"/>
  <c r="M102" i="10"/>
  <c r="P100" i="10"/>
  <c r="F99" i="10"/>
  <c r="J96" i="10"/>
  <c r="M94" i="10"/>
  <c r="P92" i="10"/>
  <c r="F91" i="10"/>
  <c r="F69" i="10"/>
  <c r="J66" i="10"/>
  <c r="M64" i="10"/>
  <c r="P62" i="10"/>
  <c r="F61" i="10"/>
  <c r="J58" i="10"/>
  <c r="M56" i="10"/>
  <c r="P54" i="10"/>
  <c r="F53" i="10"/>
  <c r="J50" i="10"/>
  <c r="M48" i="10"/>
  <c r="P46" i="10"/>
  <c r="P69" i="10"/>
  <c r="F68" i="10"/>
  <c r="J65" i="10"/>
  <c r="M63" i="10"/>
  <c r="P61" i="10"/>
  <c r="F60" i="10"/>
  <c r="J57" i="10"/>
  <c r="M55" i="10"/>
  <c r="P53" i="10"/>
  <c r="F52" i="10"/>
  <c r="J49" i="10"/>
  <c r="M47" i="10"/>
  <c r="P68" i="10"/>
  <c r="F67" i="10"/>
  <c r="J64" i="10"/>
  <c r="M62" i="10"/>
  <c r="P60" i="10"/>
  <c r="F59" i="10"/>
  <c r="J56" i="10"/>
  <c r="M54" i="10"/>
  <c r="P52" i="10"/>
  <c r="F51" i="10"/>
  <c r="J48" i="10"/>
  <c r="M46" i="10"/>
  <c r="F66" i="10"/>
  <c r="M61" i="10"/>
  <c r="F58" i="10"/>
  <c r="M68" i="10"/>
  <c r="P66" i="10"/>
  <c r="F65" i="10"/>
  <c r="J62" i="10"/>
  <c r="M60" i="10"/>
  <c r="P58" i="10"/>
  <c r="F57" i="10"/>
  <c r="J54" i="10"/>
  <c r="M52" i="10"/>
  <c r="P50" i="10"/>
  <c r="F49" i="10"/>
  <c r="J46" i="10"/>
  <c r="M69" i="10"/>
  <c r="P59" i="10"/>
  <c r="J55" i="10"/>
  <c r="P51" i="10"/>
  <c r="F50" i="10"/>
  <c r="J69" i="10"/>
  <c r="M67" i="10"/>
  <c r="P65" i="10"/>
  <c r="F64" i="10"/>
  <c r="J61" i="10"/>
  <c r="M59" i="10"/>
  <c r="P57" i="10"/>
  <c r="F56" i="10"/>
  <c r="J53" i="10"/>
  <c r="M51" i="10"/>
  <c r="P49" i="10"/>
  <c r="F48" i="10"/>
  <c r="P67" i="10"/>
  <c r="J63" i="10"/>
  <c r="M53" i="10"/>
  <c r="J47" i="10"/>
  <c r="J68" i="10"/>
  <c r="M66" i="10"/>
  <c r="P64" i="10"/>
  <c r="F63" i="10"/>
  <c r="J60" i="10"/>
  <c r="M58" i="10"/>
  <c r="P56" i="10"/>
  <c r="F55" i="10"/>
  <c r="J52" i="10"/>
  <c r="M50" i="10"/>
  <c r="P48" i="10"/>
  <c r="F47" i="10"/>
  <c r="J67" i="10"/>
  <c r="M65" i="10"/>
  <c r="P63" i="10"/>
  <c r="F62" i="10"/>
  <c r="J59" i="10"/>
  <c r="M57" i="10"/>
  <c r="P55" i="10"/>
  <c r="F54" i="10"/>
  <c r="J51" i="10"/>
  <c r="M49" i="10"/>
  <c r="P47" i="10"/>
  <c r="F46" i="10"/>
  <c r="F33" i="10"/>
  <c r="P26" i="10"/>
  <c r="M43" i="10"/>
  <c r="P41" i="10"/>
  <c r="F40" i="10"/>
  <c r="J37" i="10"/>
  <c r="M35" i="10"/>
  <c r="P33" i="10"/>
  <c r="F32" i="10"/>
  <c r="J29" i="10"/>
  <c r="M27" i="10"/>
  <c r="J44" i="10"/>
  <c r="M42" i="10"/>
  <c r="P40" i="10"/>
  <c r="F39" i="10"/>
  <c r="J36" i="10"/>
  <c r="M34" i="10"/>
  <c r="P32" i="10"/>
  <c r="F31" i="10"/>
  <c r="J28" i="10"/>
  <c r="M26" i="10"/>
  <c r="J43" i="10"/>
  <c r="M41" i="10"/>
  <c r="P39" i="10"/>
  <c r="F38" i="10"/>
  <c r="J35" i="10"/>
  <c r="M33" i="10"/>
  <c r="P31" i="10"/>
  <c r="F30" i="10"/>
  <c r="J27" i="10"/>
  <c r="J42" i="10"/>
  <c r="M40" i="10"/>
  <c r="P38" i="10"/>
  <c r="F37" i="10"/>
  <c r="J34" i="10"/>
  <c r="M32" i="10"/>
  <c r="P30" i="10"/>
  <c r="F29" i="10"/>
  <c r="J26" i="10"/>
  <c r="F41" i="10"/>
  <c r="P34" i="10"/>
  <c r="F44" i="10"/>
  <c r="J41" i="10"/>
  <c r="M39" i="10"/>
  <c r="P37" i="10"/>
  <c r="F36" i="10"/>
  <c r="J33" i="10"/>
  <c r="M31" i="10"/>
  <c r="P29" i="10"/>
  <c r="F28" i="10"/>
  <c r="M44" i="10"/>
  <c r="J38" i="10"/>
  <c r="M28" i="10"/>
  <c r="P44" i="10"/>
  <c r="F43" i="10"/>
  <c r="J40" i="10"/>
  <c r="M38" i="10"/>
  <c r="P36" i="10"/>
  <c r="F35" i="10"/>
  <c r="J32" i="10"/>
  <c r="M30" i="10"/>
  <c r="P28" i="10"/>
  <c r="F27" i="10"/>
  <c r="P42" i="10"/>
  <c r="M36" i="10"/>
  <c r="J30" i="10"/>
  <c r="P43" i="10"/>
  <c r="F42" i="10"/>
  <c r="J39" i="10"/>
  <c r="M37" i="10"/>
  <c r="P35" i="10"/>
  <c r="F34" i="10"/>
  <c r="J31" i="10"/>
  <c r="M29" i="10"/>
  <c r="P27" i="10"/>
  <c r="F26" i="10"/>
  <c r="F12" i="10"/>
  <c r="G45" i="10"/>
  <c r="AK70" i="10"/>
  <c r="AJ69" i="10"/>
  <c r="AK69" i="10" s="1"/>
  <c r="AJ15" i="10"/>
  <c r="AJ14" i="10" s="1"/>
  <c r="AC69" i="10"/>
  <c r="AD70" i="10"/>
  <c r="AC15" i="10"/>
  <c r="G135" i="10"/>
  <c r="AC53" i="10"/>
  <c r="AC52" i="10" s="1"/>
  <c r="AC51" i="10" s="1"/>
  <c r="AD51" i="10" s="1"/>
  <c r="AC36" i="10"/>
  <c r="X8" i="10"/>
  <c r="AJ36" i="10"/>
  <c r="AJ37" i="10" s="1"/>
  <c r="AK37" i="10" s="1"/>
  <c r="AJ54" i="10"/>
  <c r="AJ53" i="10" s="1"/>
  <c r="M45" i="10"/>
  <c r="P25" i="20"/>
  <c r="J45" i="10"/>
  <c r="M135" i="20"/>
  <c r="M25" i="10"/>
  <c r="P227" i="10"/>
  <c r="P135" i="10"/>
  <c r="F227" i="20"/>
  <c r="F135" i="10"/>
  <c r="H222" i="15"/>
  <c r="F90" i="20"/>
  <c r="J25" i="10"/>
  <c r="P90" i="10"/>
  <c r="F90" i="10"/>
  <c r="H227" i="13"/>
  <c r="K222" i="15"/>
  <c r="M45" i="20"/>
  <c r="F45" i="20"/>
  <c r="P45" i="10"/>
  <c r="F45" i="10"/>
  <c r="F25" i="20"/>
  <c r="F12" i="15"/>
  <c r="F13" i="15"/>
  <c r="M90" i="20"/>
  <c r="P25" i="10"/>
  <c r="F25" i="10"/>
  <c r="K227" i="13"/>
  <c r="N222" i="15"/>
  <c r="M25" i="20"/>
  <c r="N227" i="13"/>
  <c r="J135" i="20"/>
  <c r="M135" i="10"/>
  <c r="M227" i="10"/>
  <c r="P135" i="20"/>
  <c r="J90" i="20"/>
  <c r="M90" i="10"/>
  <c r="J135" i="10"/>
  <c r="P90" i="20"/>
  <c r="J45" i="20"/>
  <c r="J90" i="10"/>
  <c r="Q227" i="13"/>
  <c r="P45" i="20"/>
  <c r="J25" i="20"/>
  <c r="M227" i="20"/>
  <c r="J227" i="20"/>
  <c r="J227" i="10"/>
  <c r="Q222" i="15"/>
  <c r="AJ33" i="20"/>
  <c r="AK35" i="20"/>
  <c r="AD50" i="13"/>
  <c r="AE51" i="13"/>
  <c r="AE52" i="13"/>
  <c r="AK52" i="13"/>
  <c r="AE15" i="15"/>
  <c r="AD16" i="15"/>
  <c r="AE16" i="15" s="1"/>
  <c r="AD68" i="20"/>
  <c r="AC67" i="20"/>
  <c r="AL13" i="15"/>
  <c r="AK12" i="15"/>
  <c r="AL64" i="15"/>
  <c r="AK63" i="15"/>
  <c r="AL69" i="13"/>
  <c r="AK33" i="13"/>
  <c r="AK37" i="13"/>
  <c r="AL37" i="13" s="1"/>
  <c r="AE15" i="13"/>
  <c r="AD14" i="13"/>
  <c r="AD16" i="13"/>
  <c r="AE16" i="13" s="1"/>
  <c r="AK28" i="15"/>
  <c r="AL29" i="15"/>
  <c r="AD14" i="15"/>
  <c r="AK55" i="13"/>
  <c r="AL55" i="13" s="1"/>
  <c r="Y8" i="15"/>
  <c r="AK36" i="20"/>
  <c r="AJ37" i="20"/>
  <c r="AK37" i="20" s="1"/>
  <c r="AL54" i="13"/>
  <c r="F227" i="10"/>
  <c r="AD33" i="13"/>
  <c r="AE35" i="13"/>
  <c r="AD37" i="13"/>
  <c r="AE37" i="13" s="1"/>
  <c r="AK14" i="13"/>
  <c r="AK16" i="13"/>
  <c r="AL16" i="13" s="1"/>
  <c r="AL14" i="15"/>
  <c r="AD65" i="15"/>
  <c r="AK48" i="15"/>
  <c r="G135" i="20"/>
  <c r="AD69" i="20"/>
  <c r="AJ16" i="20"/>
  <c r="AK16" i="20" s="1"/>
  <c r="G90" i="20"/>
  <c r="P227" i="20"/>
  <c r="AD48" i="15"/>
  <c r="F135" i="20"/>
  <c r="AD31" i="15"/>
  <c r="G114" i="13"/>
  <c r="G113" i="13"/>
  <c r="G112" i="13"/>
  <c r="G111" i="13"/>
  <c r="G110" i="13"/>
  <c r="G109" i="13"/>
  <c r="G108" i="13"/>
  <c r="G107" i="13"/>
  <c r="G106" i="13"/>
  <c r="G105" i="13"/>
  <c r="G104" i="13"/>
  <c r="G103" i="13"/>
  <c r="G102" i="13"/>
  <c r="G101" i="13"/>
  <c r="G100" i="13"/>
  <c r="G99" i="13"/>
  <c r="G98" i="13"/>
  <c r="G97" i="13"/>
  <c r="G96" i="13"/>
  <c r="G95" i="13"/>
  <c r="G94" i="13"/>
  <c r="G93" i="13"/>
  <c r="G92" i="13"/>
  <c r="G91" i="13"/>
  <c r="G209" i="13"/>
  <c r="G206" i="13"/>
  <c r="G202" i="13"/>
  <c r="G198" i="13"/>
  <c r="G194" i="13"/>
  <c r="G190" i="13"/>
  <c r="G186" i="13"/>
  <c r="G182" i="13"/>
  <c r="G178" i="13"/>
  <c r="G174" i="13"/>
  <c r="G170" i="13"/>
  <c r="G166" i="13"/>
  <c r="G162" i="13"/>
  <c r="G158" i="13"/>
  <c r="G154" i="13"/>
  <c r="G150" i="13"/>
  <c r="G146" i="13"/>
  <c r="G142" i="13"/>
  <c r="G138" i="13"/>
  <c r="G185" i="13"/>
  <c r="G177" i="13"/>
  <c r="G169" i="13"/>
  <c r="G165" i="13"/>
  <c r="G161" i="13"/>
  <c r="G149" i="13"/>
  <c r="G141" i="13"/>
  <c r="G137" i="13"/>
  <c r="G205" i="13"/>
  <c r="G201" i="13"/>
  <c r="G197" i="13"/>
  <c r="G193" i="13"/>
  <c r="G189" i="13"/>
  <c r="G181" i="13"/>
  <c r="G173" i="13"/>
  <c r="G157" i="13"/>
  <c r="G153" i="13"/>
  <c r="G145" i="13"/>
  <c r="G208" i="13"/>
  <c r="G204" i="13"/>
  <c r="G200" i="13"/>
  <c r="G196" i="13"/>
  <c r="G192" i="13"/>
  <c r="G188" i="13"/>
  <c r="G184" i="13"/>
  <c r="G180" i="13"/>
  <c r="G176" i="13"/>
  <c r="G172" i="13"/>
  <c r="G168" i="13"/>
  <c r="G164" i="13"/>
  <c r="G160" i="13"/>
  <c r="G156" i="13"/>
  <c r="G152" i="13"/>
  <c r="G148" i="13"/>
  <c r="G144" i="13"/>
  <c r="G140" i="13"/>
  <c r="G136" i="13"/>
  <c r="G207" i="13"/>
  <c r="G203" i="13"/>
  <c r="G199" i="13"/>
  <c r="G195" i="13"/>
  <c r="G191" i="13"/>
  <c r="G187" i="13"/>
  <c r="G183" i="13"/>
  <c r="G179" i="13"/>
  <c r="G175" i="13"/>
  <c r="G171" i="13"/>
  <c r="G167" i="13"/>
  <c r="G163" i="13"/>
  <c r="G159" i="13"/>
  <c r="G155" i="13"/>
  <c r="G151" i="13"/>
  <c r="G147" i="13"/>
  <c r="G143" i="13"/>
  <c r="G139" i="13"/>
  <c r="G69" i="13"/>
  <c r="G68" i="13"/>
  <c r="G67" i="13"/>
  <c r="G66" i="13"/>
  <c r="G65" i="13"/>
  <c r="G64" i="13"/>
  <c r="G63" i="13"/>
  <c r="G62" i="13"/>
  <c r="G61" i="13"/>
  <c r="G60" i="13"/>
  <c r="G59" i="13"/>
  <c r="G58" i="13"/>
  <c r="G57" i="13"/>
  <c r="G56" i="13"/>
  <c r="G55" i="13"/>
  <c r="G54" i="13"/>
  <c r="G53" i="13"/>
  <c r="G52" i="13"/>
  <c r="G51" i="13"/>
  <c r="G50" i="13"/>
  <c r="G49" i="13"/>
  <c r="G48" i="13"/>
  <c r="G47" i="13"/>
  <c r="G46" i="13"/>
  <c r="G90" i="13"/>
  <c r="G135" i="13"/>
  <c r="G25" i="13"/>
  <c r="G45" i="13"/>
  <c r="G44" i="13"/>
  <c r="G43" i="13"/>
  <c r="G42" i="13"/>
  <c r="G41" i="13"/>
  <c r="G40" i="13"/>
  <c r="G39" i="13"/>
  <c r="G38" i="13"/>
  <c r="G37" i="13"/>
  <c r="G36" i="13"/>
  <c r="G35" i="13"/>
  <c r="G34" i="13"/>
  <c r="G33" i="13"/>
  <c r="G32" i="13"/>
  <c r="G31" i="13"/>
  <c r="G30" i="13"/>
  <c r="G29" i="13"/>
  <c r="G28" i="13"/>
  <c r="G27" i="13"/>
  <c r="G26" i="13"/>
  <c r="K135" i="13"/>
  <c r="Q25" i="13"/>
  <c r="H135" i="13"/>
  <c r="N130" i="15"/>
  <c r="K85" i="15"/>
  <c r="H45" i="13"/>
  <c r="N135" i="13"/>
  <c r="N45" i="13"/>
  <c r="Q45" i="13"/>
  <c r="H85" i="15"/>
  <c r="H40" i="15"/>
  <c r="K25" i="13"/>
  <c r="K25" i="15"/>
  <c r="N25" i="13"/>
  <c r="Q130" i="15"/>
  <c r="K45" i="13"/>
  <c r="Q25" i="15"/>
  <c r="H130" i="15"/>
  <c r="N25" i="15"/>
  <c r="N40" i="15"/>
  <c r="K40" i="15"/>
  <c r="E13" i="10" l="1"/>
  <c r="AC54" i="20"/>
  <c r="AD54" i="20" s="1"/>
  <c r="AC52" i="20"/>
  <c r="AC13" i="20"/>
  <c r="AC12" i="20" s="1"/>
  <c r="AD15" i="20"/>
  <c r="AC16" i="20"/>
  <c r="AD16" i="20" s="1"/>
  <c r="E13" i="20"/>
  <c r="AD35" i="20"/>
  <c r="AD36" i="20"/>
  <c r="AC37" i="20"/>
  <c r="AD37" i="20" s="1"/>
  <c r="AK14" i="20"/>
  <c r="AJ71" i="20"/>
  <c r="AK71" i="20" s="1"/>
  <c r="AJ69" i="20"/>
  <c r="AJ53" i="20"/>
  <c r="AJ55" i="20"/>
  <c r="AK55" i="20" s="1"/>
  <c r="F12" i="13"/>
  <c r="F13" i="13"/>
  <c r="AK67" i="13"/>
  <c r="AL68" i="13"/>
  <c r="AD71" i="13"/>
  <c r="AE71" i="13" s="1"/>
  <c r="AE70" i="13"/>
  <c r="AD69" i="13"/>
  <c r="AJ68" i="10"/>
  <c r="AK68" i="10" s="1"/>
  <c r="AC50" i="10"/>
  <c r="AC49" i="10" s="1"/>
  <c r="AK36" i="10"/>
  <c r="AJ34" i="10"/>
  <c r="AK34" i="10" s="1"/>
  <c r="AJ55" i="10"/>
  <c r="AK55" i="10" s="1"/>
  <c r="AJ16" i="10"/>
  <c r="AK16" i="10" s="1"/>
  <c r="AK15" i="10"/>
  <c r="AK54" i="10"/>
  <c r="AC54" i="10"/>
  <c r="AD54" i="10" s="1"/>
  <c r="AD53" i="10"/>
  <c r="AD52" i="10"/>
  <c r="AK14" i="10"/>
  <c r="AJ13" i="10"/>
  <c r="AC37" i="10"/>
  <c r="AD37" i="10" s="1"/>
  <c r="AC34" i="10"/>
  <c r="AD36" i="10"/>
  <c r="AJ52" i="10"/>
  <c r="AK53" i="10"/>
  <c r="AC16" i="10"/>
  <c r="AD16" i="10" s="1"/>
  <c r="AD15" i="10"/>
  <c r="AC14" i="10"/>
  <c r="AC68" i="10"/>
  <c r="AD69" i="10"/>
  <c r="P12" i="15"/>
  <c r="M12" i="13"/>
  <c r="P19" i="15"/>
  <c r="P20" i="15" s="1"/>
  <c r="P12" i="13"/>
  <c r="H16" i="15"/>
  <c r="M12" i="15"/>
  <c r="N16" i="15" s="1"/>
  <c r="J12" i="15"/>
  <c r="N19" i="15" s="1"/>
  <c r="N20" i="15" s="1"/>
  <c r="J12" i="13"/>
  <c r="K16" i="15"/>
  <c r="Q16" i="15"/>
  <c r="L12" i="10"/>
  <c r="E12" i="10"/>
  <c r="I12" i="10"/>
  <c r="L12" i="20"/>
  <c r="O12" i="10"/>
  <c r="E12" i="20"/>
  <c r="I12" i="20"/>
  <c r="F11" i="15"/>
  <c r="H17" i="15" s="1"/>
  <c r="H18" i="15" s="1"/>
  <c r="O12" i="20"/>
  <c r="AE14" i="15"/>
  <c r="AD13" i="15"/>
  <c r="AD31" i="13"/>
  <c r="AE33" i="13"/>
  <c r="AD67" i="20"/>
  <c r="AC66" i="20"/>
  <c r="AK31" i="13"/>
  <c r="AL33" i="13"/>
  <c r="AK51" i="13"/>
  <c r="AL52" i="13"/>
  <c r="AD49" i="15"/>
  <c r="AE49" i="15" s="1"/>
  <c r="AD47" i="15"/>
  <c r="AE48" i="15"/>
  <c r="AL63" i="15"/>
  <c r="AK62" i="15"/>
  <c r="AE50" i="13"/>
  <c r="AD49" i="13"/>
  <c r="AK47" i="15"/>
  <c r="AL48" i="15"/>
  <c r="AD33" i="20"/>
  <c r="AC31" i="20"/>
  <c r="AE65" i="15"/>
  <c r="AD66" i="15"/>
  <c r="AE66" i="15" s="1"/>
  <c r="AD64" i="15"/>
  <c r="AL28" i="15"/>
  <c r="AK27" i="15"/>
  <c r="AK11" i="15"/>
  <c r="AL12" i="15"/>
  <c r="AC51" i="20"/>
  <c r="AD52" i="20"/>
  <c r="AE14" i="13"/>
  <c r="AD13" i="13"/>
  <c r="AD30" i="15"/>
  <c r="AE31" i="15"/>
  <c r="AD32" i="15"/>
  <c r="AE32" i="15" s="1"/>
  <c r="AK13" i="13"/>
  <c r="AL14" i="13"/>
  <c r="AJ12" i="20"/>
  <c r="AK13" i="20"/>
  <c r="AJ31" i="20"/>
  <c r="AK33" i="20"/>
  <c r="M16" i="10" l="1"/>
  <c r="P16" i="10"/>
  <c r="J16" i="10"/>
  <c r="AD13" i="20"/>
  <c r="M16" i="20"/>
  <c r="P16" i="20"/>
  <c r="AK53" i="20"/>
  <c r="AJ52" i="20"/>
  <c r="AJ68" i="20"/>
  <c r="AK69" i="20"/>
  <c r="M19" i="13"/>
  <c r="M20" i="13" s="1"/>
  <c r="P19" i="13"/>
  <c r="P20" i="13" s="1"/>
  <c r="F11" i="13"/>
  <c r="H17" i="13" s="1"/>
  <c r="H18" i="13" s="1"/>
  <c r="K16" i="13"/>
  <c r="H16" i="13"/>
  <c r="AD68" i="13"/>
  <c r="AE69" i="13"/>
  <c r="N16" i="13"/>
  <c r="AK66" i="13"/>
  <c r="AL67" i="13"/>
  <c r="AJ67" i="10"/>
  <c r="AJ66" i="10" s="1"/>
  <c r="AJ32" i="10"/>
  <c r="AJ30" i="10" s="1"/>
  <c r="AD50" i="10"/>
  <c r="AD34" i="10"/>
  <c r="AC32" i="10"/>
  <c r="AK52" i="10"/>
  <c r="AJ51" i="10"/>
  <c r="AD68" i="10"/>
  <c r="AC67" i="10"/>
  <c r="AD14" i="10"/>
  <c r="AC13" i="10"/>
  <c r="AK13" i="10"/>
  <c r="AJ12" i="10"/>
  <c r="Q19" i="15"/>
  <c r="Q20" i="15" s="1"/>
  <c r="Q16" i="13"/>
  <c r="Q19" i="13"/>
  <c r="Q20" i="13" s="1"/>
  <c r="M19" i="10"/>
  <c r="M20" i="10" s="1"/>
  <c r="J19" i="15"/>
  <c r="J20" i="15" s="1"/>
  <c r="M19" i="15"/>
  <c r="M20" i="15" s="1"/>
  <c r="L19" i="10"/>
  <c r="L20" i="10" s="1"/>
  <c r="I19" i="10"/>
  <c r="I20" i="10" s="1"/>
  <c r="E11" i="10"/>
  <c r="F16" i="10" s="1"/>
  <c r="F17" i="10" s="1"/>
  <c r="F18" i="10" s="1"/>
  <c r="N19" i="13"/>
  <c r="N20" i="13" s="1"/>
  <c r="J19" i="13"/>
  <c r="J20" i="13" s="1"/>
  <c r="P19" i="20"/>
  <c r="P20" i="20" s="1"/>
  <c r="J16" i="20"/>
  <c r="M19" i="20"/>
  <c r="M20" i="20" s="1"/>
  <c r="E11" i="20"/>
  <c r="F16" i="20" s="1"/>
  <c r="F17" i="20" s="1"/>
  <c r="F18" i="20" s="1"/>
  <c r="I19" i="20"/>
  <c r="I20" i="20" s="1"/>
  <c r="L19" i="20"/>
  <c r="L20" i="20" s="1"/>
  <c r="O19" i="20"/>
  <c r="O20" i="20" s="1"/>
  <c r="O19" i="10"/>
  <c r="O20" i="10" s="1"/>
  <c r="P19" i="10"/>
  <c r="P20" i="10" s="1"/>
  <c r="AD48" i="13"/>
  <c r="AE49" i="13"/>
  <c r="AD63" i="15"/>
  <c r="AE64" i="15"/>
  <c r="AD49" i="10"/>
  <c r="AC48" i="10"/>
  <c r="AD66" i="20"/>
  <c r="AC65" i="20"/>
  <c r="AD12" i="15"/>
  <c r="AE13" i="15"/>
  <c r="AD51" i="20"/>
  <c r="AC50" i="20"/>
  <c r="AL62" i="15"/>
  <c r="AK61" i="15"/>
  <c r="AE31" i="13"/>
  <c r="AD29" i="13"/>
  <c r="AD46" i="15"/>
  <c r="AE47" i="15"/>
  <c r="AC27" i="20"/>
  <c r="AD31" i="20"/>
  <c r="AK10" i="15"/>
  <c r="AL11" i="15"/>
  <c r="AK29" i="13"/>
  <c r="AL31" i="13"/>
  <c r="AJ11" i="20"/>
  <c r="AK12" i="20"/>
  <c r="AL13" i="13"/>
  <c r="AK12" i="13"/>
  <c r="AL27" i="15"/>
  <c r="AK26" i="15"/>
  <c r="AK46" i="15"/>
  <c r="AL47" i="15"/>
  <c r="AD29" i="15"/>
  <c r="AE30" i="15"/>
  <c r="AD12" i="13"/>
  <c r="AE13" i="13"/>
  <c r="AJ27" i="20"/>
  <c r="AK31" i="20"/>
  <c r="AL51" i="13"/>
  <c r="AK50" i="13"/>
  <c r="AD12" i="20"/>
  <c r="AC11" i="20"/>
  <c r="AK68" i="20" l="1"/>
  <c r="AJ67" i="20"/>
  <c r="AK52" i="20"/>
  <c r="AJ51" i="20"/>
  <c r="AK65" i="13"/>
  <c r="AL66" i="13"/>
  <c r="AE68" i="13"/>
  <c r="AD67" i="13"/>
  <c r="AK67" i="10"/>
  <c r="AK32" i="10"/>
  <c r="AC66" i="10"/>
  <c r="AD67" i="10"/>
  <c r="AK51" i="10"/>
  <c r="AJ50" i="10"/>
  <c r="AK12" i="10"/>
  <c r="AJ11" i="10"/>
  <c r="AC30" i="10"/>
  <c r="AD32" i="10"/>
  <c r="AD13" i="10"/>
  <c r="AC12" i="10"/>
  <c r="AK66" i="10"/>
  <c r="AJ65" i="10"/>
  <c r="AL26" i="15"/>
  <c r="AK25" i="15"/>
  <c r="AE12" i="13"/>
  <c r="AD11" i="13"/>
  <c r="AJ26" i="20"/>
  <c r="AK27" i="20"/>
  <c r="AD11" i="15"/>
  <c r="AE12" i="15"/>
  <c r="AE63" i="15"/>
  <c r="AD62" i="15"/>
  <c r="AK30" i="10"/>
  <c r="AJ28" i="10"/>
  <c r="AC26" i="20"/>
  <c r="AD27" i="20"/>
  <c r="AC64" i="20"/>
  <c r="AD65" i="20"/>
  <c r="AK11" i="13"/>
  <c r="AL12" i="13"/>
  <c r="AE29" i="15"/>
  <c r="AD28" i="15"/>
  <c r="AE46" i="15"/>
  <c r="AD45" i="15"/>
  <c r="AL10" i="15"/>
  <c r="AK9" i="15"/>
  <c r="AC10" i="20"/>
  <c r="AD11" i="20"/>
  <c r="AL50" i="13"/>
  <c r="AK49" i="13"/>
  <c r="AK60" i="15"/>
  <c r="AL61" i="15"/>
  <c r="AD48" i="10"/>
  <c r="AC47" i="10"/>
  <c r="AD27" i="13"/>
  <c r="AE29" i="13"/>
  <c r="AJ10" i="20"/>
  <c r="AK11" i="20"/>
  <c r="AD47" i="13"/>
  <c r="AE48" i="13"/>
  <c r="AC49" i="20"/>
  <c r="AD50" i="20"/>
  <c r="AL46" i="15"/>
  <c r="AK45" i="15"/>
  <c r="AL29" i="13"/>
  <c r="AK27" i="13"/>
  <c r="AK51" i="20" l="1"/>
  <c r="AJ50" i="20"/>
  <c r="AK67" i="20"/>
  <c r="AJ66" i="20"/>
  <c r="AE67" i="13"/>
  <c r="AD66" i="13"/>
  <c r="AL65" i="13"/>
  <c r="AK64" i="13"/>
  <c r="AD30" i="10"/>
  <c r="AC28" i="10"/>
  <c r="AJ64" i="10"/>
  <c r="AK65" i="10"/>
  <c r="AJ49" i="10"/>
  <c r="AK50" i="10"/>
  <c r="AJ10" i="10"/>
  <c r="AK11" i="10"/>
  <c r="AC11" i="10"/>
  <c r="AD12" i="10"/>
  <c r="AD66" i="10"/>
  <c r="AC65" i="10"/>
  <c r="AK48" i="13"/>
  <c r="AL49" i="13"/>
  <c r="AE28" i="15"/>
  <c r="AD27" i="15"/>
  <c r="AK28" i="10"/>
  <c r="AJ26" i="10"/>
  <c r="AE11" i="13"/>
  <c r="AD10" i="13"/>
  <c r="AD10" i="15"/>
  <c r="AE11" i="15"/>
  <c r="AK24" i="15"/>
  <c r="AL25" i="15"/>
  <c r="AK10" i="13"/>
  <c r="AL11" i="13"/>
  <c r="AD10" i="20"/>
  <c r="AC9" i="20"/>
  <c r="AC48" i="20"/>
  <c r="AD49" i="20"/>
  <c r="AD46" i="13"/>
  <c r="AE47" i="13"/>
  <c r="AL9" i="15"/>
  <c r="AK8" i="15"/>
  <c r="AE27" i="13"/>
  <c r="AD26" i="13"/>
  <c r="AC25" i="20"/>
  <c r="AD26" i="20"/>
  <c r="AJ25" i="20"/>
  <c r="AK26" i="20"/>
  <c r="AK10" i="20"/>
  <c r="AJ9" i="20"/>
  <c r="AL27" i="13"/>
  <c r="AK26" i="13"/>
  <c r="AL45" i="15"/>
  <c r="AK44" i="15"/>
  <c r="AC46" i="10"/>
  <c r="AD47" i="10"/>
  <c r="AE45" i="15"/>
  <c r="AD44" i="15"/>
  <c r="AE62" i="15"/>
  <c r="AD61" i="15"/>
  <c r="AD64" i="20"/>
  <c r="AC63" i="20"/>
  <c r="AK59" i="15"/>
  <c r="AL60" i="15"/>
  <c r="AJ49" i="20" l="1"/>
  <c r="AK50" i="20"/>
  <c r="AJ65" i="20"/>
  <c r="AK66" i="20"/>
  <c r="AE66" i="13"/>
  <c r="AD65" i="13"/>
  <c r="AL64" i="13"/>
  <c r="AK63" i="13"/>
  <c r="AD65" i="10"/>
  <c r="AC64" i="10"/>
  <c r="AK64" i="10"/>
  <c r="AJ63" i="10"/>
  <c r="AJ48" i="10"/>
  <c r="AK49" i="10"/>
  <c r="AC26" i="10"/>
  <c r="AD28" i="10"/>
  <c r="AK10" i="10"/>
  <c r="AJ9" i="10"/>
  <c r="AD11" i="10"/>
  <c r="AC10" i="10"/>
  <c r="AE46" i="13"/>
  <c r="AD45" i="13"/>
  <c r="AE10" i="13"/>
  <c r="AD9" i="13"/>
  <c r="AE27" i="15"/>
  <c r="AD26" i="15"/>
  <c r="AC47" i="20"/>
  <c r="AD48" i="20"/>
  <c r="AL24" i="15"/>
  <c r="AK23" i="15"/>
  <c r="AK9" i="20"/>
  <c r="AJ8" i="20"/>
  <c r="AC45" i="10"/>
  <c r="AD46" i="10"/>
  <c r="AK47" i="13"/>
  <c r="AL48" i="13"/>
  <c r="AD63" i="20"/>
  <c r="AC62" i="20"/>
  <c r="AK26" i="10"/>
  <c r="AJ25" i="10"/>
  <c r="AJ24" i="20"/>
  <c r="AK25" i="20"/>
  <c r="AD60" i="15"/>
  <c r="AE61" i="15"/>
  <c r="AD25" i="20"/>
  <c r="AC24" i="20"/>
  <c r="AD25" i="13"/>
  <c r="AE26" i="13"/>
  <c r="AD43" i="15"/>
  <c r="AE44" i="15"/>
  <c r="AK25" i="13"/>
  <c r="AL26" i="13"/>
  <c r="AK7" i="15"/>
  <c r="AL8" i="15"/>
  <c r="AD9" i="20"/>
  <c r="AC8" i="20"/>
  <c r="AL10" i="13"/>
  <c r="AK9" i="13"/>
  <c r="AK43" i="15"/>
  <c r="AL44" i="15"/>
  <c r="AL59" i="15"/>
  <c r="AK58" i="15"/>
  <c r="AD9" i="15"/>
  <c r="AE10" i="15"/>
  <c r="AJ64" i="20" l="1"/>
  <c r="AK65" i="20"/>
  <c r="AJ48" i="20"/>
  <c r="AK49" i="20"/>
  <c r="AK62" i="13"/>
  <c r="AL63" i="13"/>
  <c r="AE65" i="13"/>
  <c r="AD64" i="13"/>
  <c r="AK48" i="10"/>
  <c r="AJ47" i="10"/>
  <c r="AC25" i="10"/>
  <c r="AD26" i="10"/>
  <c r="AJ62" i="10"/>
  <c r="AK63" i="10"/>
  <c r="AJ8" i="10"/>
  <c r="AK9" i="10"/>
  <c r="AC63" i="10"/>
  <c r="AD64" i="10"/>
  <c r="AC9" i="10"/>
  <c r="AD10" i="10"/>
  <c r="AE9" i="13"/>
  <c r="AD8" i="13"/>
  <c r="AL9" i="13"/>
  <c r="AK8" i="13"/>
  <c r="AD47" i="20"/>
  <c r="AC46" i="20"/>
  <c r="AE25" i="13"/>
  <c r="AD24" i="13"/>
  <c r="AD24" i="20"/>
  <c r="AC23" i="20"/>
  <c r="AL25" i="13"/>
  <c r="AK24" i="13"/>
  <c r="AD62" i="20"/>
  <c r="AC61" i="20"/>
  <c r="AL47" i="13"/>
  <c r="AK46" i="13"/>
  <c r="AC44" i="10"/>
  <c r="AD45" i="10"/>
  <c r="AK42" i="15"/>
  <c r="AL43" i="15"/>
  <c r="AJ7" i="20"/>
  <c r="AK8" i="20"/>
  <c r="AD44" i="13"/>
  <c r="AE45" i="13"/>
  <c r="AD59" i="15"/>
  <c r="AE60" i="15"/>
  <c r="AD25" i="15"/>
  <c r="AE26" i="15"/>
  <c r="AL58" i="15"/>
  <c r="AK57" i="15"/>
  <c r="AK25" i="10"/>
  <c r="AJ24" i="10"/>
  <c r="AK22" i="15"/>
  <c r="AL23" i="15"/>
  <c r="AE43" i="15"/>
  <c r="AD42" i="15"/>
  <c r="AC7" i="20"/>
  <c r="AD8" i="20"/>
  <c r="AE9" i="15"/>
  <c r="AD8" i="15"/>
  <c r="AL7" i="15"/>
  <c r="AK6" i="15"/>
  <c r="AK24" i="20"/>
  <c r="AJ23" i="20"/>
  <c r="AJ47" i="20" l="1"/>
  <c r="AK48" i="20"/>
  <c r="AJ63" i="20"/>
  <c r="AK64" i="20"/>
  <c r="AK61" i="13"/>
  <c r="AL62" i="13"/>
  <c r="AE64" i="13"/>
  <c r="AD63" i="13"/>
  <c r="AK8" i="10"/>
  <c r="AJ7" i="10"/>
  <c r="AK62" i="10"/>
  <c r="AJ61" i="10"/>
  <c r="AC8" i="10"/>
  <c r="AD9" i="10"/>
  <c r="AC24" i="10"/>
  <c r="AD25" i="10"/>
  <c r="AJ46" i="10"/>
  <c r="AK47" i="10"/>
  <c r="AC62" i="10"/>
  <c r="AD63" i="10"/>
  <c r="AC60" i="20"/>
  <c r="AD60" i="20" s="1"/>
  <c r="AD61" i="20"/>
  <c r="AK7" i="20"/>
  <c r="AJ6" i="20"/>
  <c r="AK23" i="13"/>
  <c r="AL24" i="13"/>
  <c r="AK21" i="15"/>
  <c r="AL21" i="15" s="1"/>
  <c r="AL22" i="15"/>
  <c r="AK41" i="15"/>
  <c r="AL42" i="15"/>
  <c r="AK7" i="13"/>
  <c r="AL8" i="13"/>
  <c r="AE42" i="15"/>
  <c r="AD41" i="15"/>
  <c r="AD44" i="10"/>
  <c r="AC43" i="10"/>
  <c r="AD43" i="10" s="1"/>
  <c r="AD7" i="13"/>
  <c r="AE8" i="13"/>
  <c r="AK23" i="20"/>
  <c r="AJ22" i="20"/>
  <c r="AD46" i="20"/>
  <c r="AC45" i="20"/>
  <c r="AE59" i="15"/>
  <c r="AD58" i="15"/>
  <c r="AD7" i="15"/>
  <c r="AE8" i="15"/>
  <c r="AK56" i="15"/>
  <c r="AL57" i="15"/>
  <c r="AD23" i="20"/>
  <c r="AC22" i="20"/>
  <c r="AE44" i="13"/>
  <c r="AD43" i="13"/>
  <c r="AE43" i="13" s="1"/>
  <c r="AL46" i="13"/>
  <c r="AK45" i="13"/>
  <c r="AE24" i="13"/>
  <c r="AD23" i="13"/>
  <c r="AL6" i="15"/>
  <c r="AK5" i="15"/>
  <c r="AL5" i="15" s="1"/>
  <c r="AJ23" i="10"/>
  <c r="AK24" i="10"/>
  <c r="AD7" i="20"/>
  <c r="AC6" i="20"/>
  <c r="AE25" i="15"/>
  <c r="AD24" i="15"/>
  <c r="AK63" i="20" l="1"/>
  <c r="AJ62" i="20"/>
  <c r="AK47" i="20"/>
  <c r="AJ46" i="20"/>
  <c r="AD62" i="13"/>
  <c r="AE63" i="13"/>
  <c r="AK60" i="13"/>
  <c r="AL60" i="13" s="1"/>
  <c r="AL61" i="13"/>
  <c r="AC23" i="10"/>
  <c r="AD24" i="10"/>
  <c r="AC61" i="10"/>
  <c r="AD62" i="10"/>
  <c r="AC7" i="10"/>
  <c r="AD8" i="10"/>
  <c r="AK61" i="10"/>
  <c r="AJ60" i="10"/>
  <c r="AK60" i="10" s="1"/>
  <c r="AK7" i="10"/>
  <c r="AJ6" i="10"/>
  <c r="AJ45" i="10"/>
  <c r="AK46" i="10"/>
  <c r="AE24" i="15"/>
  <c r="AD23" i="15"/>
  <c r="AJ21" i="20"/>
  <c r="AK21" i="20" s="1"/>
  <c r="AK22" i="20"/>
  <c r="AC21" i="20"/>
  <c r="AD21" i="20" s="1"/>
  <c r="AD22" i="20"/>
  <c r="AD45" i="20"/>
  <c r="AC44" i="20"/>
  <c r="AD40" i="15"/>
  <c r="AE41" i="15"/>
  <c r="AE23" i="13"/>
  <c r="AD22" i="13"/>
  <c r="AK55" i="15"/>
  <c r="AL55" i="15" s="1"/>
  <c r="AL56" i="15"/>
  <c r="AK6" i="13"/>
  <c r="AL7" i="13"/>
  <c r="AK6" i="20"/>
  <c r="AJ5" i="20"/>
  <c r="AK5" i="20" s="1"/>
  <c r="AK44" i="13"/>
  <c r="AL44" i="13" s="1"/>
  <c r="AL45" i="13"/>
  <c r="AE7" i="15"/>
  <c r="AD6" i="15"/>
  <c r="AK40" i="15"/>
  <c r="AL41" i="15"/>
  <c r="AK23" i="10"/>
  <c r="AJ22" i="10"/>
  <c r="AD6" i="13"/>
  <c r="AE7" i="13"/>
  <c r="AD6" i="20"/>
  <c r="AC5" i="20"/>
  <c r="AD5" i="20" s="1"/>
  <c r="AD57" i="15"/>
  <c r="AE58" i="15"/>
  <c r="AL23" i="13"/>
  <c r="AK22" i="13"/>
  <c r="AJ45" i="20" l="1"/>
  <c r="AK46" i="20"/>
  <c r="AK62" i="20"/>
  <c r="AJ61" i="20"/>
  <c r="AE62" i="13"/>
  <c r="AD61" i="13"/>
  <c r="AD7" i="10"/>
  <c r="AC6" i="10"/>
  <c r="AJ44" i="10"/>
  <c r="AK44" i="10" s="1"/>
  <c r="AK45" i="10"/>
  <c r="AC60" i="10"/>
  <c r="AD60" i="10" s="1"/>
  <c r="AD61" i="10"/>
  <c r="AJ5" i="10"/>
  <c r="AK5" i="10" s="1"/>
  <c r="AK6" i="10"/>
  <c r="AC22" i="10"/>
  <c r="AD23" i="10"/>
  <c r="AK39" i="15"/>
  <c r="AL39" i="15" s="1"/>
  <c r="AL40" i="15"/>
  <c r="AL6" i="13"/>
  <c r="AK5" i="13"/>
  <c r="AL5" i="13" s="1"/>
  <c r="AL22" i="13"/>
  <c r="AK21" i="13"/>
  <c r="AL21" i="13" s="1"/>
  <c r="AD21" i="13"/>
  <c r="AE21" i="13" s="1"/>
  <c r="AE22" i="13"/>
  <c r="AD44" i="20"/>
  <c r="AC43" i="20"/>
  <c r="AD43" i="20" s="1"/>
  <c r="AE6" i="15"/>
  <c r="AD5" i="15"/>
  <c r="AE5" i="15" s="1"/>
  <c r="AD39" i="15"/>
  <c r="AE40" i="15"/>
  <c r="AE6" i="13"/>
  <c r="AD5" i="13"/>
  <c r="AE5" i="13" s="1"/>
  <c r="AK22" i="10"/>
  <c r="AJ21" i="10"/>
  <c r="AK21" i="10" s="1"/>
  <c r="AD22" i="15"/>
  <c r="AE23" i="15"/>
  <c r="AD56" i="15"/>
  <c r="AE57" i="15"/>
  <c r="AJ60" i="20" l="1"/>
  <c r="AK60" i="20" s="1"/>
  <c r="AK61" i="20"/>
  <c r="AK45" i="20"/>
  <c r="AJ44" i="20"/>
  <c r="AK44" i="20" s="1"/>
  <c r="AD60" i="13"/>
  <c r="AE60" i="13" s="1"/>
  <c r="AE61" i="13"/>
  <c r="AC5" i="10"/>
  <c r="AD5" i="10" s="1"/>
  <c r="AD6" i="10"/>
  <c r="AD22" i="10"/>
  <c r="AC21" i="10"/>
  <c r="AD21" i="10" s="1"/>
  <c r="AE39" i="15"/>
  <c r="AD38" i="15"/>
  <c r="AE38" i="15" s="1"/>
  <c r="AD55" i="15"/>
  <c r="AE55" i="15" s="1"/>
  <c r="AE56" i="15"/>
  <c r="AD21" i="15"/>
  <c r="AE21" i="15" s="1"/>
  <c r="AE22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Claus Svendsen</author>
  </authors>
  <commentList>
    <comment ref="F16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J16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M16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P16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Claus Svendsen</author>
  </authors>
  <commentList>
    <comment ref="F16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J1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M16" authorId="0" shapeId="0" xr:uid="{00000000-0006-0000-0700-000003000000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  <comment ref="P16" authorId="0" shapeId="0" xr:uid="{00000000-0006-0000-0700-000004000000}">
      <text>
        <r>
          <rPr>
            <b/>
            <sz val="8"/>
            <color indexed="81"/>
            <rFont val="Tahoma"/>
            <family val="2"/>
          </rPr>
          <t>Claus Svendsen:</t>
        </r>
        <r>
          <rPr>
            <sz val="8"/>
            <color indexed="81"/>
            <rFont val="Tahoma"/>
            <family val="2"/>
          </rPr>
          <t xml:space="preserve">
the "R^2" value should be read as the percentage of the total deviance that is explained by the model.</t>
        </r>
      </text>
    </comment>
  </commentList>
</comments>
</file>

<file path=xl/sharedStrings.xml><?xml version="1.0" encoding="utf-8"?>
<sst xmlns="http://schemas.openxmlformats.org/spreadsheetml/2006/main" count="316" uniqueCount="77">
  <si>
    <t>Model</t>
  </si>
  <si>
    <t>Data</t>
  </si>
  <si>
    <t>SS</t>
  </si>
  <si>
    <t>CA</t>
  </si>
  <si>
    <t>S/A</t>
  </si>
  <si>
    <t>a</t>
  </si>
  <si>
    <t>b</t>
  </si>
  <si>
    <t>DR</t>
  </si>
  <si>
    <t>DL</t>
  </si>
  <si>
    <t>N</t>
  </si>
  <si>
    <t>df</t>
  </si>
  <si>
    <t>Chivalue</t>
  </si>
  <si>
    <t>ChiTest</t>
  </si>
  <si>
    <t>CA vs DR</t>
  </si>
  <si>
    <t>CA vs DL</t>
  </si>
  <si>
    <t>Test</t>
  </si>
  <si>
    <t>Residuals</t>
  </si>
  <si>
    <t>Sum TU50</t>
  </si>
  <si>
    <t xml:space="preserve"> </t>
  </si>
  <si>
    <t>CA vs S/A</t>
  </si>
  <si>
    <t>S/A vs DR</t>
  </si>
  <si>
    <t>IA</t>
  </si>
  <si>
    <t>max</t>
  </si>
  <si>
    <t>Chem 2 max</t>
  </si>
  <si>
    <t>Chem 1 max</t>
  </si>
  <si>
    <t>Contr. L</t>
  </si>
  <si>
    <t>Exposed</t>
  </si>
  <si>
    <t>Chem 1</t>
  </si>
  <si>
    <t>Chem 2</t>
  </si>
  <si>
    <t>Survivors</t>
  </si>
  <si>
    <t>CONTROLS</t>
  </si>
  <si>
    <t>CHEM 1</t>
  </si>
  <si>
    <t>CHEM 2</t>
  </si>
  <si>
    <t>MIXTURES</t>
  </si>
  <si>
    <t>beta (Chem 1)</t>
  </si>
  <si>
    <t>beta (Chem 2)</t>
  </si>
  <si>
    <t>Likelihood test:</t>
  </si>
  <si>
    <t>p-value</t>
  </si>
  <si>
    <t>DATA:</t>
  </si>
  <si>
    <t>Exp name:</t>
  </si>
  <si>
    <t>Species:</t>
  </si>
  <si>
    <t>Parameter:</t>
  </si>
  <si>
    <t>EC50 (Chem 2)</t>
  </si>
  <si>
    <t>EC50 (Chem 1)</t>
  </si>
  <si>
    <t>IA vs S/A</t>
  </si>
  <si>
    <t>IA vs DR</t>
  </si>
  <si>
    <t>IA vs DL</t>
  </si>
  <si>
    <t>Sq Resi</t>
  </si>
  <si>
    <t>S/A vs DL</t>
  </si>
  <si>
    <t>Fit of CA</t>
  </si>
  <si>
    <t>R^2</t>
  </si>
  <si>
    <t>P-value</t>
  </si>
  <si>
    <t>F-value</t>
  </si>
  <si>
    <t>Total</t>
  </si>
  <si>
    <t>Avg resp</t>
  </si>
  <si>
    <t>Factor</t>
  </si>
  <si>
    <t>Avg data</t>
  </si>
  <si>
    <t>Pi</t>
  </si>
  <si>
    <t>Regression</t>
  </si>
  <si>
    <t>S/A Residual SS</t>
  </si>
  <si>
    <t>DR Residual SS</t>
  </si>
  <si>
    <t>DL Residual SS</t>
  </si>
  <si>
    <t>"R^2"</t>
  </si>
  <si>
    <t>Deviance</t>
  </si>
  <si>
    <t>P(overall)</t>
  </si>
  <si>
    <t>Chi-value</t>
  </si>
  <si>
    <t>S/A residual deviance</t>
  </si>
  <si>
    <t>DL residual deviance</t>
  </si>
  <si>
    <t>DR residual deviance</t>
  </si>
  <si>
    <t>Fit of IA</t>
  </si>
  <si>
    <t>SOLVER NOTE: For now you will have to unprotect the sheet [tools-protection-unprotect sheet] to use solver. Remember to re-protect (leave password empty)!!</t>
  </si>
  <si>
    <t>[MPs]</t>
  </si>
  <si>
    <t>[Imi]</t>
  </si>
  <si>
    <t>MPs &amp; Imi</t>
  </si>
  <si>
    <t>F. candida</t>
  </si>
  <si>
    <t>reproduction</t>
  </si>
  <si>
    <t>[CPF]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</si>
</sst>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u/>
      <sz val="10"/>
      <name val="Arial"/>
      <family val="2"/>
    </font>
    <font>
      <u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7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3" fillId="0" borderId="0" xfId="0" applyFont="1"/>
    <xf numFmtId="0" fontId="2" fillId="0" borderId="0" xfId="0" applyFont="1"/>
    <xf numFmtId="2" fontId="0" fillId="0" borderId="0" xfId="0" applyNumberFormat="1"/>
    <xf numFmtId="2" fontId="2" fillId="0" borderId="0" xfId="0" applyNumberFormat="1" applyFont="1"/>
    <xf numFmtId="2" fontId="0" fillId="0" borderId="0" xfId="0" quotePrefix="1" applyNumberFormat="1"/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0" fillId="2" borderId="0" xfId="0" applyFill="1"/>
    <xf numFmtId="2" fontId="0" fillId="2" borderId="0" xfId="0" applyNumberFormat="1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2" fontId="0" fillId="4" borderId="0" xfId="0" applyNumberFormat="1" applyFill="1"/>
    <xf numFmtId="0" fontId="0" fillId="5" borderId="0" xfId="0" applyFill="1"/>
    <xf numFmtId="2" fontId="0" fillId="5" borderId="0" xfId="0" applyNumberFormat="1" applyFill="1"/>
    <xf numFmtId="0" fontId="0" fillId="0" borderId="1" xfId="0" applyBorder="1"/>
    <xf numFmtId="0" fontId="0" fillId="0" borderId="2" xfId="0" applyBorder="1"/>
    <xf numFmtId="0" fontId="4" fillId="5" borderId="0" xfId="0" applyFont="1" applyFill="1"/>
    <xf numFmtId="0" fontId="5" fillId="5" borderId="0" xfId="0" applyFont="1" applyFill="1"/>
    <xf numFmtId="0" fontId="2" fillId="4" borderId="0" xfId="0" applyFont="1" applyFill="1"/>
    <xf numFmtId="0" fontId="3" fillId="4" borderId="0" xfId="0" applyFont="1" applyFill="1"/>
    <xf numFmtId="0" fontId="3" fillId="2" borderId="0" xfId="0" applyFont="1" applyFill="1"/>
    <xf numFmtId="0" fontId="2" fillId="2" borderId="0" xfId="0" applyFont="1" applyFill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0" borderId="3" xfId="0" applyFont="1" applyBorder="1"/>
    <xf numFmtId="0" fontId="0" fillId="0" borderId="0" xfId="0" applyAlignment="1">
      <alignment horizontal="left"/>
    </xf>
    <xf numFmtId="0" fontId="3" fillId="0" borderId="2" xfId="0" applyFont="1" applyBorder="1" applyAlignment="1">
      <alignment wrapText="1"/>
    </xf>
    <xf numFmtId="0" fontId="0" fillId="0" borderId="8" xfId="0" applyBorder="1" applyAlignment="1">
      <alignment wrapText="1"/>
    </xf>
    <xf numFmtId="0" fontId="0" fillId="0" borderId="1" xfId="0" applyBorder="1" applyAlignment="1">
      <alignment wrapText="1"/>
    </xf>
    <xf numFmtId="0" fontId="3" fillId="0" borderId="1" xfId="0" applyFont="1" applyBorder="1" applyAlignment="1">
      <alignment wrapText="1"/>
    </xf>
    <xf numFmtId="0" fontId="0" fillId="0" borderId="9" xfId="0" applyBorder="1"/>
    <xf numFmtId="0" fontId="0" fillId="0" borderId="10" xfId="0" applyBorder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0" fillId="4" borderId="11" xfId="0" applyFill="1" applyBorder="1"/>
    <xf numFmtId="0" fontId="0" fillId="4" borderId="11" xfId="0" applyFill="1" applyBorder="1" applyAlignment="1">
      <alignment horizontal="left"/>
    </xf>
    <xf numFmtId="0" fontId="3" fillId="6" borderId="0" xfId="0" applyFont="1" applyFill="1"/>
    <xf numFmtId="0" fontId="0" fillId="6" borderId="0" xfId="0" applyFill="1"/>
    <xf numFmtId="0" fontId="2" fillId="6" borderId="0" xfId="0" applyFont="1" applyFill="1"/>
    <xf numFmtId="2" fontId="0" fillId="6" borderId="0" xfId="0" applyNumberFormat="1" applyFill="1"/>
    <xf numFmtId="0" fontId="0" fillId="6" borderId="12" xfId="0" applyFill="1" applyBorder="1"/>
    <xf numFmtId="0" fontId="0" fillId="6" borderId="7" xfId="0" applyFill="1" applyBorder="1"/>
    <xf numFmtId="0" fontId="3" fillId="0" borderId="9" xfId="0" applyFont="1" applyBorder="1"/>
    <xf numFmtId="0" fontId="3" fillId="0" borderId="10" xfId="0" applyFont="1" applyBorder="1"/>
    <xf numFmtId="0" fontId="0" fillId="4" borderId="3" xfId="0" applyFill="1" applyBorder="1"/>
    <xf numFmtId="0" fontId="0" fillId="4" borderId="4" xfId="0" applyFill="1" applyBorder="1"/>
    <xf numFmtId="0" fontId="0" fillId="2" borderId="3" xfId="0" applyFill="1" applyBorder="1"/>
    <xf numFmtId="0" fontId="0" fillId="2" borderId="4" xfId="0" applyFill="1" applyBorder="1"/>
    <xf numFmtId="2" fontId="0" fillId="0" borderId="3" xfId="0" applyNumberFormat="1" applyBorder="1"/>
    <xf numFmtId="0" fontId="2" fillId="0" borderId="4" xfId="0" applyFont="1" applyBorder="1" applyAlignment="1">
      <alignment horizontal="center"/>
    </xf>
    <xf numFmtId="0" fontId="4" fillId="0" borderId="0" xfId="0" applyFont="1"/>
    <xf numFmtId="0" fontId="4" fillId="0" borderId="3" xfId="0" applyFont="1" applyBorder="1"/>
    <xf numFmtId="0" fontId="4" fillId="0" borderId="4" xfId="0" applyFont="1" applyBorder="1"/>
    <xf numFmtId="0" fontId="3" fillId="0" borderId="9" xfId="0" applyFont="1" applyBorder="1" applyAlignment="1">
      <alignment wrapText="1"/>
    </xf>
    <xf numFmtId="0" fontId="3" fillId="0" borderId="10" xfId="0" applyFont="1" applyBorder="1" applyAlignment="1">
      <alignment wrapText="1"/>
    </xf>
    <xf numFmtId="0" fontId="0" fillId="0" borderId="12" xfId="0" applyBorder="1"/>
    <xf numFmtId="0" fontId="2" fillId="0" borderId="10" xfId="0" applyFont="1" applyBorder="1" applyAlignment="1">
      <alignment horizontal="center"/>
    </xf>
    <xf numFmtId="2" fontId="0" fillId="0" borderId="5" xfId="0" applyNumberFormat="1" applyBorder="1"/>
    <xf numFmtId="0" fontId="2" fillId="0" borderId="6" xfId="0" applyFont="1" applyBorder="1" applyAlignment="1">
      <alignment horizontal="center"/>
    </xf>
    <xf numFmtId="0" fontId="0" fillId="0" borderId="12" xfId="0" applyBorder="1" applyAlignment="1">
      <alignment wrapText="1"/>
    </xf>
    <xf numFmtId="0" fontId="3" fillId="0" borderId="12" xfId="0" applyFont="1" applyBorder="1" applyAlignment="1">
      <alignment wrapText="1"/>
    </xf>
    <xf numFmtId="0" fontId="0" fillId="0" borderId="10" xfId="0" applyBorder="1" applyAlignment="1">
      <alignment wrapText="1"/>
    </xf>
    <xf numFmtId="0" fontId="0" fillId="2" borderId="5" xfId="0" applyFill="1" applyBorder="1"/>
    <xf numFmtId="0" fontId="0" fillId="2" borderId="7" xfId="0" applyFill="1" applyBorder="1"/>
    <xf numFmtId="0" fontId="0" fillId="2" borderId="6" xfId="0" applyFill="1" applyBorder="1"/>
    <xf numFmtId="0" fontId="0" fillId="0" borderId="7" xfId="0" applyBorder="1" applyAlignment="1">
      <alignment wrapText="1"/>
    </xf>
    <xf numFmtId="2" fontId="0" fillId="0" borderId="7" xfId="0" applyNumberFormat="1" applyBorder="1"/>
    <xf numFmtId="0" fontId="3" fillId="0" borderId="5" xfId="0" applyFont="1" applyBorder="1"/>
    <xf numFmtId="0" fontId="3" fillId="0" borderId="6" xfId="0" applyFont="1" applyBorder="1"/>
    <xf numFmtId="0" fontId="3" fillId="0" borderId="2" xfId="0" applyFont="1" applyBorder="1"/>
    <xf numFmtId="0" fontId="3" fillId="0" borderId="1" xfId="0" applyFont="1" applyBorder="1"/>
    <xf numFmtId="0" fontId="0" fillId="7" borderId="3" xfId="0" applyFill="1" applyBorder="1"/>
    <xf numFmtId="0" fontId="3" fillId="6" borderId="8" xfId="0" applyFont="1" applyFill="1" applyBorder="1"/>
    <xf numFmtId="0" fontId="2" fillId="7" borderId="0" xfId="0" applyFont="1" applyFill="1"/>
    <xf numFmtId="0" fontId="2" fillId="7" borderId="3" xfId="0" applyFont="1" applyFill="1" applyBorder="1"/>
    <xf numFmtId="0" fontId="8" fillId="0" borderId="0" xfId="0" applyFont="1"/>
    <xf numFmtId="2" fontId="2" fillId="3" borderId="0" xfId="0" applyNumberFormat="1" applyFont="1" applyFill="1" applyAlignment="1">
      <alignment horizontal="right" wrapText="1"/>
    </xf>
    <xf numFmtId="0" fontId="2" fillId="4" borderId="0" xfId="0" applyFont="1" applyFill="1" applyAlignment="1">
      <alignment horizontal="right" wrapText="1"/>
    </xf>
    <xf numFmtId="2" fontId="2" fillId="4" borderId="0" xfId="0" applyNumberFormat="1" applyFont="1" applyFill="1" applyAlignment="1">
      <alignment horizontal="right" wrapText="1"/>
    </xf>
    <xf numFmtId="0" fontId="2" fillId="2" borderId="0" xfId="0" applyFont="1" applyFill="1" applyAlignment="1">
      <alignment horizontal="right" wrapText="1"/>
    </xf>
    <xf numFmtId="2" fontId="2" fillId="2" borderId="0" xfId="0" applyNumberFormat="1" applyFont="1" applyFill="1" applyAlignment="1">
      <alignment horizontal="right" wrapText="1"/>
    </xf>
    <xf numFmtId="0" fontId="2" fillId="5" borderId="0" xfId="0" applyFont="1" applyFill="1" applyAlignment="1">
      <alignment horizontal="right" wrapText="1"/>
    </xf>
    <xf numFmtId="2" fontId="2" fillId="5" borderId="0" xfId="0" applyNumberFormat="1" applyFont="1" applyFill="1" applyAlignment="1">
      <alignment horizontal="righ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Concentration addition</a:t>
            </a:r>
          </a:p>
        </c:rich>
      </c:tx>
      <c:layout>
        <c:manualLayout>
          <c:xMode val="edge"/>
          <c:yMode val="edge"/>
          <c:x val="0.27974478408043779"/>
          <c:y val="2.7778643175876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247419836318283"/>
          <c:y val="0.12963366815409172"/>
          <c:w val="0.66301716541899036"/>
          <c:h val="0.64353856690781253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continous data model (new)'!$C$45:$C$89</c:f>
              <c:numCache>
                <c:formatCode>0.00</c:formatCode>
                <c:ptCount val="45"/>
                <c:pt idx="0">
                  <c:v>861</c:v>
                </c:pt>
                <c:pt idx="1">
                  <c:v>884</c:v>
                </c:pt>
                <c:pt idx="2">
                  <c:v>763</c:v>
                </c:pt>
                <c:pt idx="3">
                  <c:v>822</c:v>
                </c:pt>
                <c:pt idx="4">
                  <c:v>1051</c:v>
                </c:pt>
                <c:pt idx="5">
                  <c:v>937</c:v>
                </c:pt>
                <c:pt idx="6">
                  <c:v>821</c:v>
                </c:pt>
                <c:pt idx="7">
                  <c:v>971</c:v>
                </c:pt>
                <c:pt idx="8">
                  <c:v>861</c:v>
                </c:pt>
                <c:pt idx="9">
                  <c:v>837</c:v>
                </c:pt>
                <c:pt idx="10">
                  <c:v>169</c:v>
                </c:pt>
                <c:pt idx="11">
                  <c:v>73</c:v>
                </c:pt>
                <c:pt idx="12">
                  <c:v>133</c:v>
                </c:pt>
                <c:pt idx="13">
                  <c:v>101</c:v>
                </c:pt>
                <c:pt idx="14">
                  <c:v>324</c:v>
                </c:pt>
                <c:pt idx="15">
                  <c:v>23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xVal>
          <c:yVal>
            <c:numRef>
              <c:f>'CA - continous data model (new)'!$E$45:$E$89</c:f>
              <c:numCache>
                <c:formatCode>0.00</c:formatCode>
                <c:ptCount val="45"/>
                <c:pt idx="0">
                  <c:v>795.53952567505394</c:v>
                </c:pt>
                <c:pt idx="1">
                  <c:v>795.53952567505394</c:v>
                </c:pt>
                <c:pt idx="2">
                  <c:v>795.53952567505394</c:v>
                </c:pt>
                <c:pt idx="3">
                  <c:v>795.53952567505394</c:v>
                </c:pt>
                <c:pt idx="4">
                  <c:v>795.53952567505394</c:v>
                </c:pt>
                <c:pt idx="5">
                  <c:v>761.50152551711665</c:v>
                </c:pt>
                <c:pt idx="6">
                  <c:v>761.50152551711665</c:v>
                </c:pt>
                <c:pt idx="7">
                  <c:v>761.50152551711665</c:v>
                </c:pt>
                <c:pt idx="8">
                  <c:v>761.50152551711665</c:v>
                </c:pt>
                <c:pt idx="9">
                  <c:v>761.50152551711665</c:v>
                </c:pt>
                <c:pt idx="10">
                  <c:v>178.85869889153881</c:v>
                </c:pt>
                <c:pt idx="11">
                  <c:v>178.85869889153881</c:v>
                </c:pt>
                <c:pt idx="12">
                  <c:v>178.85869889153881</c:v>
                </c:pt>
                <c:pt idx="13">
                  <c:v>178.85869889153881</c:v>
                </c:pt>
                <c:pt idx="14">
                  <c:v>178.85869889153881</c:v>
                </c:pt>
                <c:pt idx="15">
                  <c:v>3.0185361956563006</c:v>
                </c:pt>
                <c:pt idx="16">
                  <c:v>3.0185361956563006</c:v>
                </c:pt>
                <c:pt idx="17">
                  <c:v>3.0185361956563006</c:v>
                </c:pt>
                <c:pt idx="18">
                  <c:v>3.0185361956563006</c:v>
                </c:pt>
                <c:pt idx="19">
                  <c:v>3.0185361956563006</c:v>
                </c:pt>
                <c:pt idx="20">
                  <c:v>3.9795559731735403E-2</c:v>
                </c:pt>
                <c:pt idx="21">
                  <c:v>3.9795559731735403E-2</c:v>
                </c:pt>
                <c:pt idx="22">
                  <c:v>3.9795559731735403E-2</c:v>
                </c:pt>
                <c:pt idx="23">
                  <c:v>3.9795559731735403E-2</c:v>
                </c:pt>
                <c:pt idx="24">
                  <c:v>3.9795559731735403E-2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FA-4BE8-B74F-4C5A4010E2AB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continous data model (new)'!$C$90:$C$134</c:f>
              <c:numCache>
                <c:formatCode>0.00</c:formatCode>
                <c:ptCount val="45"/>
                <c:pt idx="0">
                  <c:v>569</c:v>
                </c:pt>
                <c:pt idx="1">
                  <c:v>617</c:v>
                </c:pt>
                <c:pt idx="2">
                  <c:v>655</c:v>
                </c:pt>
                <c:pt idx="3">
                  <c:v>599</c:v>
                </c:pt>
                <c:pt idx="4">
                  <c:v>607</c:v>
                </c:pt>
                <c:pt idx="5">
                  <c:v>708</c:v>
                </c:pt>
                <c:pt idx="6">
                  <c:v>572</c:v>
                </c:pt>
                <c:pt idx="7">
                  <c:v>547</c:v>
                </c:pt>
                <c:pt idx="8">
                  <c:v>641</c:v>
                </c:pt>
                <c:pt idx="9">
                  <c:v>644</c:v>
                </c:pt>
                <c:pt idx="10">
                  <c:v>578</c:v>
                </c:pt>
                <c:pt idx="11">
                  <c:v>550</c:v>
                </c:pt>
                <c:pt idx="12">
                  <c:v>585</c:v>
                </c:pt>
                <c:pt idx="13">
                  <c:v>421</c:v>
                </c:pt>
                <c:pt idx="14">
                  <c:v>632</c:v>
                </c:pt>
                <c:pt idx="15">
                  <c:v>616</c:v>
                </c:pt>
                <c:pt idx="16">
                  <c:v>745</c:v>
                </c:pt>
                <c:pt idx="17">
                  <c:v>611</c:v>
                </c:pt>
                <c:pt idx="18">
                  <c:v>586</c:v>
                </c:pt>
                <c:pt idx="19">
                  <c:v>522</c:v>
                </c:pt>
                <c:pt idx="20">
                  <c:v>549</c:v>
                </c:pt>
                <c:pt idx="21">
                  <c:v>552</c:v>
                </c:pt>
                <c:pt idx="22">
                  <c:v>473</c:v>
                </c:pt>
                <c:pt idx="23">
                  <c:v>350</c:v>
                </c:pt>
                <c:pt idx="24">
                  <c:v>626</c:v>
                </c:pt>
              </c:numCache>
            </c:numRef>
          </c:xVal>
          <c:yVal>
            <c:numRef>
              <c:f>'CA - continous data model (new)'!$E$90:$E$134</c:f>
              <c:numCache>
                <c:formatCode>0.00</c:formatCode>
                <c:ptCount val="45"/>
                <c:pt idx="0">
                  <c:v>720.73847350233893</c:v>
                </c:pt>
                <c:pt idx="1">
                  <c:v>720.73847350233893</c:v>
                </c:pt>
                <c:pt idx="2">
                  <c:v>720.73847350233893</c:v>
                </c:pt>
                <c:pt idx="3">
                  <c:v>720.73847350233893</c:v>
                </c:pt>
                <c:pt idx="4">
                  <c:v>720.73847350233893</c:v>
                </c:pt>
                <c:pt idx="5">
                  <c:v>700.93999454704976</c:v>
                </c:pt>
                <c:pt idx="6">
                  <c:v>700.93999454704976</c:v>
                </c:pt>
                <c:pt idx="7">
                  <c:v>700.93999454704976</c:v>
                </c:pt>
                <c:pt idx="8">
                  <c:v>700.93999454704976</c:v>
                </c:pt>
                <c:pt idx="9">
                  <c:v>700.93999454704976</c:v>
                </c:pt>
                <c:pt idx="10">
                  <c:v>676.79553058810257</c:v>
                </c:pt>
                <c:pt idx="11">
                  <c:v>676.79553058810257</c:v>
                </c:pt>
                <c:pt idx="12">
                  <c:v>676.79553058810257</c:v>
                </c:pt>
                <c:pt idx="13">
                  <c:v>676.79553058810257</c:v>
                </c:pt>
                <c:pt idx="14">
                  <c:v>676.79553058810257</c:v>
                </c:pt>
                <c:pt idx="15">
                  <c:v>647.81580737165359</c:v>
                </c:pt>
                <c:pt idx="16">
                  <c:v>647.81580737165359</c:v>
                </c:pt>
                <c:pt idx="17">
                  <c:v>647.81580737165359</c:v>
                </c:pt>
                <c:pt idx="18">
                  <c:v>647.81580737165359</c:v>
                </c:pt>
                <c:pt idx="19">
                  <c:v>647.81580737165359</c:v>
                </c:pt>
                <c:pt idx="20">
                  <c:v>613.68934286001695</c:v>
                </c:pt>
                <c:pt idx="21">
                  <c:v>613.68934286001695</c:v>
                </c:pt>
                <c:pt idx="22">
                  <c:v>613.68934286001695</c:v>
                </c:pt>
                <c:pt idx="23">
                  <c:v>613.68934286001695</c:v>
                </c:pt>
                <c:pt idx="24">
                  <c:v>613.68934286001695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FA-4BE8-B74F-4C5A4010E2AB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continous data model (new)'!$C$135:$C$224</c:f>
              <c:numCache>
                <c:formatCode>0.00</c:formatCode>
                <c:ptCount val="90"/>
                <c:pt idx="0">
                  <c:v>820</c:v>
                </c:pt>
                <c:pt idx="1">
                  <c:v>843</c:v>
                </c:pt>
                <c:pt idx="2">
                  <c:v>888</c:v>
                </c:pt>
                <c:pt idx="3">
                  <c:v>820</c:v>
                </c:pt>
                <c:pt idx="4">
                  <c:v>811</c:v>
                </c:pt>
                <c:pt idx="5">
                  <c:v>886</c:v>
                </c:pt>
                <c:pt idx="6">
                  <c:v>832</c:v>
                </c:pt>
                <c:pt idx="7">
                  <c:v>762</c:v>
                </c:pt>
                <c:pt idx="8">
                  <c:v>821</c:v>
                </c:pt>
                <c:pt idx="9">
                  <c:v>788</c:v>
                </c:pt>
                <c:pt idx="10">
                  <c:v>749</c:v>
                </c:pt>
                <c:pt idx="11">
                  <c:v>785</c:v>
                </c:pt>
                <c:pt idx="12">
                  <c:v>823</c:v>
                </c:pt>
                <c:pt idx="13">
                  <c:v>717</c:v>
                </c:pt>
                <c:pt idx="14">
                  <c:v>721</c:v>
                </c:pt>
                <c:pt idx="15">
                  <c:v>636</c:v>
                </c:pt>
                <c:pt idx="16">
                  <c:v>951</c:v>
                </c:pt>
                <c:pt idx="17">
                  <c:v>568</c:v>
                </c:pt>
                <c:pt idx="18">
                  <c:v>904</c:v>
                </c:pt>
                <c:pt idx="19">
                  <c:v>907</c:v>
                </c:pt>
                <c:pt idx="20">
                  <c:v>287</c:v>
                </c:pt>
                <c:pt idx="21">
                  <c:v>347</c:v>
                </c:pt>
                <c:pt idx="22">
                  <c:v>387</c:v>
                </c:pt>
                <c:pt idx="23">
                  <c:v>187</c:v>
                </c:pt>
                <c:pt idx="24">
                  <c:v>187</c:v>
                </c:pt>
                <c:pt idx="25">
                  <c:v>789</c:v>
                </c:pt>
                <c:pt idx="26">
                  <c:v>765</c:v>
                </c:pt>
                <c:pt idx="27">
                  <c:v>559</c:v>
                </c:pt>
                <c:pt idx="28">
                  <c:v>801</c:v>
                </c:pt>
                <c:pt idx="29">
                  <c:v>700</c:v>
                </c:pt>
                <c:pt idx="30">
                  <c:v>739</c:v>
                </c:pt>
                <c:pt idx="31">
                  <c:v>669</c:v>
                </c:pt>
                <c:pt idx="32">
                  <c:v>732</c:v>
                </c:pt>
                <c:pt idx="33">
                  <c:v>774</c:v>
                </c:pt>
                <c:pt idx="34">
                  <c:v>665</c:v>
                </c:pt>
                <c:pt idx="35">
                  <c:v>483</c:v>
                </c:pt>
                <c:pt idx="36">
                  <c:v>434</c:v>
                </c:pt>
                <c:pt idx="37">
                  <c:v>337</c:v>
                </c:pt>
                <c:pt idx="38">
                  <c:v>360</c:v>
                </c:pt>
                <c:pt idx="39">
                  <c:v>357</c:v>
                </c:pt>
                <c:pt idx="40">
                  <c:v>4</c:v>
                </c:pt>
                <c:pt idx="41">
                  <c:v>85</c:v>
                </c:pt>
                <c:pt idx="42">
                  <c:v>3</c:v>
                </c:pt>
                <c:pt idx="43">
                  <c:v>22</c:v>
                </c:pt>
                <c:pt idx="44">
                  <c:v>55</c:v>
                </c:pt>
                <c:pt idx="45">
                  <c:v>0</c:v>
                </c:pt>
                <c:pt idx="46">
                  <c:v>0</c:v>
                </c:pt>
                <c:pt idx="47">
                  <c:v>65</c:v>
                </c:pt>
                <c:pt idx="48">
                  <c:v>0</c:v>
                </c:pt>
                <c:pt idx="49">
                  <c:v>0</c:v>
                </c:pt>
                <c:pt idx="50">
                  <c:v>749</c:v>
                </c:pt>
                <c:pt idx="51">
                  <c:v>703</c:v>
                </c:pt>
                <c:pt idx="52">
                  <c:v>699</c:v>
                </c:pt>
                <c:pt idx="53">
                  <c:v>830</c:v>
                </c:pt>
                <c:pt idx="54">
                  <c:v>662</c:v>
                </c:pt>
                <c:pt idx="55">
                  <c:v>710</c:v>
                </c:pt>
                <c:pt idx="56">
                  <c:v>668</c:v>
                </c:pt>
                <c:pt idx="57">
                  <c:v>593</c:v>
                </c:pt>
                <c:pt idx="58">
                  <c:v>732</c:v>
                </c:pt>
                <c:pt idx="59">
                  <c:v>830</c:v>
                </c:pt>
                <c:pt idx="60">
                  <c:v>690</c:v>
                </c:pt>
                <c:pt idx="61">
                  <c:v>610</c:v>
                </c:pt>
                <c:pt idx="62">
                  <c:v>699</c:v>
                </c:pt>
                <c:pt idx="63">
                  <c:v>670</c:v>
                </c:pt>
                <c:pt idx="64">
                  <c:v>561</c:v>
                </c:pt>
                <c:pt idx="65">
                  <c:v>183</c:v>
                </c:pt>
                <c:pt idx="66">
                  <c:v>100</c:v>
                </c:pt>
                <c:pt idx="67">
                  <c:v>198</c:v>
                </c:pt>
                <c:pt idx="68">
                  <c:v>208</c:v>
                </c:pt>
                <c:pt idx="69">
                  <c:v>65</c:v>
                </c:pt>
                <c:pt idx="70">
                  <c:v>4</c:v>
                </c:pt>
                <c:pt idx="71">
                  <c:v>4</c:v>
                </c:pt>
                <c:pt idx="72">
                  <c:v>8</c:v>
                </c:pt>
                <c:pt idx="73">
                  <c:v>3</c:v>
                </c:pt>
                <c:pt idx="74">
                  <c:v>5</c:v>
                </c:pt>
              </c:numCache>
            </c:numRef>
          </c:xVal>
          <c:yVal>
            <c:numRef>
              <c:f>'CA - continous data model (new)'!$E$135:$E$224</c:f>
              <c:numCache>
                <c:formatCode>0.00</c:formatCode>
                <c:ptCount val="90"/>
                <c:pt idx="0">
                  <c:v>725.00944092269469</c:v>
                </c:pt>
                <c:pt idx="1">
                  <c:v>725.00944092269469</c:v>
                </c:pt>
                <c:pt idx="2">
                  <c:v>725.00944092269469</c:v>
                </c:pt>
                <c:pt idx="3">
                  <c:v>725.00944092269469</c:v>
                </c:pt>
                <c:pt idx="4">
                  <c:v>725.00944092269469</c:v>
                </c:pt>
                <c:pt idx="5">
                  <c:v>702.55083099096419</c:v>
                </c:pt>
                <c:pt idx="6">
                  <c:v>702.55083099096419</c:v>
                </c:pt>
                <c:pt idx="7">
                  <c:v>702.55083099096419</c:v>
                </c:pt>
                <c:pt idx="8">
                  <c:v>702.55083099096419</c:v>
                </c:pt>
                <c:pt idx="9">
                  <c:v>702.55083099096419</c:v>
                </c:pt>
                <c:pt idx="10">
                  <c:v>668.20722620480933</c:v>
                </c:pt>
                <c:pt idx="11">
                  <c:v>668.20722620480933</c:v>
                </c:pt>
                <c:pt idx="12">
                  <c:v>668.20722620480933</c:v>
                </c:pt>
                <c:pt idx="13">
                  <c:v>668.20722620480933</c:v>
                </c:pt>
                <c:pt idx="14">
                  <c:v>668.20722620480933</c:v>
                </c:pt>
                <c:pt idx="15">
                  <c:v>596.46931976279348</c:v>
                </c:pt>
                <c:pt idx="16">
                  <c:v>596.46931976279348</c:v>
                </c:pt>
                <c:pt idx="17">
                  <c:v>596.46931976279348</c:v>
                </c:pt>
                <c:pt idx="18">
                  <c:v>596.46931976279348</c:v>
                </c:pt>
                <c:pt idx="19">
                  <c:v>596.46931976279348</c:v>
                </c:pt>
                <c:pt idx="20">
                  <c:v>177.90378979735269</c:v>
                </c:pt>
                <c:pt idx="21">
                  <c:v>177.90378979735269</c:v>
                </c:pt>
                <c:pt idx="22">
                  <c:v>177.90378979735269</c:v>
                </c:pt>
                <c:pt idx="23">
                  <c:v>177.90378979735269</c:v>
                </c:pt>
                <c:pt idx="24">
                  <c:v>177.90378979735269</c:v>
                </c:pt>
                <c:pt idx="25">
                  <c:v>742.03276951798853</c:v>
                </c:pt>
                <c:pt idx="26">
                  <c:v>742.03276951798853</c:v>
                </c:pt>
                <c:pt idx="27">
                  <c:v>742.03276951798853</c:v>
                </c:pt>
                <c:pt idx="28">
                  <c:v>742.03276951798853</c:v>
                </c:pt>
                <c:pt idx="29">
                  <c:v>742.03276951798853</c:v>
                </c:pt>
                <c:pt idx="30">
                  <c:v>711.62227343248082</c:v>
                </c:pt>
                <c:pt idx="31">
                  <c:v>711.62227343248082</c:v>
                </c:pt>
                <c:pt idx="32">
                  <c:v>711.62227343248082</c:v>
                </c:pt>
                <c:pt idx="33">
                  <c:v>711.62227343248082</c:v>
                </c:pt>
                <c:pt idx="34">
                  <c:v>711.62227343248082</c:v>
                </c:pt>
                <c:pt idx="35">
                  <c:v>495.56752527287063</c:v>
                </c:pt>
                <c:pt idx="36">
                  <c:v>495.56752527287063</c:v>
                </c:pt>
                <c:pt idx="37">
                  <c:v>495.56752527287063</c:v>
                </c:pt>
                <c:pt idx="38">
                  <c:v>495.56752527287063</c:v>
                </c:pt>
                <c:pt idx="39">
                  <c:v>495.56752527287063</c:v>
                </c:pt>
                <c:pt idx="40">
                  <c:v>17.88573082607407</c:v>
                </c:pt>
                <c:pt idx="41">
                  <c:v>17.88573082607407</c:v>
                </c:pt>
                <c:pt idx="42">
                  <c:v>17.88573082607407</c:v>
                </c:pt>
                <c:pt idx="43">
                  <c:v>17.88573082607407</c:v>
                </c:pt>
                <c:pt idx="44">
                  <c:v>17.88573082607407</c:v>
                </c:pt>
                <c:pt idx="45">
                  <c:v>0.24024572561931268</c:v>
                </c:pt>
                <c:pt idx="46">
                  <c:v>0.24024572561931268</c:v>
                </c:pt>
                <c:pt idx="47">
                  <c:v>0.24024572561931268</c:v>
                </c:pt>
                <c:pt idx="48">
                  <c:v>0.24024572561931268</c:v>
                </c:pt>
                <c:pt idx="49">
                  <c:v>0.24024572561931268</c:v>
                </c:pt>
                <c:pt idx="50">
                  <c:v>731.28281818973119</c:v>
                </c:pt>
                <c:pt idx="51">
                  <c:v>731.28281818973119</c:v>
                </c:pt>
                <c:pt idx="52">
                  <c:v>731.28281818973119</c:v>
                </c:pt>
                <c:pt idx="53">
                  <c:v>731.28281818973119</c:v>
                </c:pt>
                <c:pt idx="54">
                  <c:v>731.28281818973119</c:v>
                </c:pt>
                <c:pt idx="55">
                  <c:v>705.35875585891745</c:v>
                </c:pt>
                <c:pt idx="56">
                  <c:v>705.35875585891745</c:v>
                </c:pt>
                <c:pt idx="57">
                  <c:v>705.35875585891745</c:v>
                </c:pt>
                <c:pt idx="58">
                  <c:v>705.35875585891745</c:v>
                </c:pt>
                <c:pt idx="59">
                  <c:v>705.35875585891745</c:v>
                </c:pt>
                <c:pt idx="60">
                  <c:v>644.3302042779917</c:v>
                </c:pt>
                <c:pt idx="61">
                  <c:v>644.3302042779917</c:v>
                </c:pt>
                <c:pt idx="62">
                  <c:v>644.3302042779917</c:v>
                </c:pt>
                <c:pt idx="63">
                  <c:v>644.3302042779917</c:v>
                </c:pt>
                <c:pt idx="64">
                  <c:v>644.3302042779917</c:v>
                </c:pt>
                <c:pt idx="65">
                  <c:v>178.53622404821411</c:v>
                </c:pt>
                <c:pt idx="66">
                  <c:v>178.53622404821411</c:v>
                </c:pt>
                <c:pt idx="67">
                  <c:v>178.53622404821411</c:v>
                </c:pt>
                <c:pt idx="68">
                  <c:v>178.53622404821411</c:v>
                </c:pt>
                <c:pt idx="69">
                  <c:v>178.53622404821411</c:v>
                </c:pt>
                <c:pt idx="70">
                  <c:v>3.0185360516475273</c:v>
                </c:pt>
                <c:pt idx="71">
                  <c:v>3.0185360516475273</c:v>
                </c:pt>
                <c:pt idx="72">
                  <c:v>3.0185360516475273</c:v>
                </c:pt>
                <c:pt idx="73">
                  <c:v>3.0185360516475273</c:v>
                </c:pt>
                <c:pt idx="74">
                  <c:v>3.0185360516475273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FA-4BE8-B74F-4C5A4010E2AB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continous data model (new)'!$S$2:$S$3</c:f>
              <c:numCache>
                <c:formatCode>0.00</c:formatCode>
                <c:ptCount val="2"/>
                <c:pt idx="0">
                  <c:v>0</c:v>
                </c:pt>
                <c:pt idx="1">
                  <c:v>1051</c:v>
                </c:pt>
              </c:numCache>
            </c:numRef>
          </c:xVal>
          <c:yVal>
            <c:numRef>
              <c:f>'CA - continous data model (new)'!$S$2:$S$3</c:f>
              <c:numCache>
                <c:formatCode>0.00</c:formatCode>
                <c:ptCount val="2"/>
                <c:pt idx="0">
                  <c:v>0</c:v>
                </c:pt>
                <c:pt idx="1">
                  <c:v>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AFA-4BE8-B74F-4C5A4010E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63552"/>
        <c:axId val="1"/>
      </c:scatterChart>
      <c:valAx>
        <c:axId val="1552263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0001626760834161"/>
              <c:y val="0.8773421469714421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4.845972637613883E-2"/>
              <c:y val="0.3819563436683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5226355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0178820004156981"/>
          <c:y val="0.57872173283076667"/>
          <c:w val="0.18282533132816015"/>
          <c:h val="0.1759314067805530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CA to the complete data set</a:t>
            </a:r>
          </a:p>
        </c:rich>
      </c:tx>
      <c:layout>
        <c:manualLayout>
          <c:xMode val="edge"/>
          <c:yMode val="edge"/>
          <c:x val="0.16042165414103668"/>
          <c:y val="3.72973294059857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20911707930576"/>
          <c:y val="0.27972997054489279"/>
          <c:w val="0.66877079193860745"/>
          <c:h val="0.46621661757482136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continous data model (new)'!$E$227:$E$316</c:f>
              <c:numCache>
                <c:formatCode>General</c:formatCode>
                <c:ptCount val="90"/>
                <c:pt idx="0">
                  <c:v>7.8071397264550993E-2</c:v>
                </c:pt>
                <c:pt idx="1">
                  <c:v>7.8071397264550993E-2</c:v>
                </c:pt>
                <c:pt idx="2">
                  <c:v>7.8071397264550993E-2</c:v>
                </c:pt>
                <c:pt idx="3">
                  <c:v>7.8071397264550993E-2</c:v>
                </c:pt>
                <c:pt idx="4">
                  <c:v>7.8071397264550993E-2</c:v>
                </c:pt>
                <c:pt idx="5">
                  <c:v>0.15614279452910199</c:v>
                </c:pt>
                <c:pt idx="6">
                  <c:v>0.15614279452910199</c:v>
                </c:pt>
                <c:pt idx="7">
                  <c:v>0.15614279452910199</c:v>
                </c:pt>
                <c:pt idx="8">
                  <c:v>0.15614279452910199</c:v>
                </c:pt>
                <c:pt idx="9">
                  <c:v>0.15614279452910199</c:v>
                </c:pt>
                <c:pt idx="10">
                  <c:v>0.31228558905820397</c:v>
                </c:pt>
                <c:pt idx="11">
                  <c:v>0.31228558905820397</c:v>
                </c:pt>
                <c:pt idx="12">
                  <c:v>0.31228558905820397</c:v>
                </c:pt>
                <c:pt idx="13">
                  <c:v>0.31228558905820397</c:v>
                </c:pt>
                <c:pt idx="14">
                  <c:v>0.31228558905820397</c:v>
                </c:pt>
                <c:pt idx="15">
                  <c:v>0.62457117811640794</c:v>
                </c:pt>
                <c:pt idx="16">
                  <c:v>0.62457117811640794</c:v>
                </c:pt>
                <c:pt idx="17">
                  <c:v>0.62457117811640794</c:v>
                </c:pt>
                <c:pt idx="18">
                  <c:v>0.62457117811640794</c:v>
                </c:pt>
                <c:pt idx="19">
                  <c:v>0.62457117811640794</c:v>
                </c:pt>
                <c:pt idx="20">
                  <c:v>1.2491423562328159</c:v>
                </c:pt>
                <c:pt idx="21">
                  <c:v>1.2491423562328159</c:v>
                </c:pt>
                <c:pt idx="22">
                  <c:v>1.2491423562328159</c:v>
                </c:pt>
                <c:pt idx="23">
                  <c:v>1.2491423562328159</c:v>
                </c:pt>
                <c:pt idx="24">
                  <c:v>1.2491423562328159</c:v>
                </c:pt>
                <c:pt idx="25">
                  <c:v>0.22921419179365293</c:v>
                </c:pt>
                <c:pt idx="26">
                  <c:v>0.22921419179365293</c:v>
                </c:pt>
                <c:pt idx="27">
                  <c:v>0.22921419179365293</c:v>
                </c:pt>
                <c:pt idx="28">
                  <c:v>0.22921419179365293</c:v>
                </c:pt>
                <c:pt idx="29">
                  <c:v>0.22921419179365293</c:v>
                </c:pt>
                <c:pt idx="30">
                  <c:v>0.45842838358730587</c:v>
                </c:pt>
                <c:pt idx="31">
                  <c:v>0.45842838358730587</c:v>
                </c:pt>
                <c:pt idx="32">
                  <c:v>0.45842838358730587</c:v>
                </c:pt>
                <c:pt idx="33">
                  <c:v>0.45842838358730587</c:v>
                </c:pt>
                <c:pt idx="34">
                  <c:v>0.45842838358730587</c:v>
                </c:pt>
                <c:pt idx="35">
                  <c:v>0.91685676717461173</c:v>
                </c:pt>
                <c:pt idx="36">
                  <c:v>0.91685676717461173</c:v>
                </c:pt>
                <c:pt idx="37">
                  <c:v>0.91685676717461173</c:v>
                </c:pt>
                <c:pt idx="38">
                  <c:v>0.91685676717461173</c:v>
                </c:pt>
                <c:pt idx="39">
                  <c:v>0.91685676717461173</c:v>
                </c:pt>
                <c:pt idx="40">
                  <c:v>1.8337135343492235</c:v>
                </c:pt>
                <c:pt idx="41">
                  <c:v>1.8337135343492235</c:v>
                </c:pt>
                <c:pt idx="42">
                  <c:v>1.8337135343492235</c:v>
                </c:pt>
                <c:pt idx="43">
                  <c:v>1.8337135343492235</c:v>
                </c:pt>
                <c:pt idx="44">
                  <c:v>1.8337135343492235</c:v>
                </c:pt>
                <c:pt idx="45">
                  <c:v>3.6674270686984469</c:v>
                </c:pt>
                <c:pt idx="46">
                  <c:v>3.6674270686984469</c:v>
                </c:pt>
                <c:pt idx="47">
                  <c:v>3.6674270686984469</c:v>
                </c:pt>
                <c:pt idx="48">
                  <c:v>3.6674270686984469</c:v>
                </c:pt>
                <c:pt idx="49">
                  <c:v>3.6674270686984469</c:v>
                </c:pt>
                <c:pt idx="50">
                  <c:v>0.15364279452910198</c:v>
                </c:pt>
                <c:pt idx="51">
                  <c:v>0.15364279452910198</c:v>
                </c:pt>
                <c:pt idx="52">
                  <c:v>0.15364279452910198</c:v>
                </c:pt>
                <c:pt idx="53">
                  <c:v>0.15364279452910198</c:v>
                </c:pt>
                <c:pt idx="54">
                  <c:v>0.15364279452910198</c:v>
                </c:pt>
                <c:pt idx="55">
                  <c:v>0.30728558905820397</c:v>
                </c:pt>
                <c:pt idx="56">
                  <c:v>0.30728558905820397</c:v>
                </c:pt>
                <c:pt idx="57">
                  <c:v>0.30728558905820397</c:v>
                </c:pt>
                <c:pt idx="58">
                  <c:v>0.30728558905820397</c:v>
                </c:pt>
                <c:pt idx="59">
                  <c:v>0.30728558905820397</c:v>
                </c:pt>
                <c:pt idx="60">
                  <c:v>0.61457117811640793</c:v>
                </c:pt>
                <c:pt idx="61">
                  <c:v>0.61457117811640793</c:v>
                </c:pt>
                <c:pt idx="62">
                  <c:v>0.61457117811640793</c:v>
                </c:pt>
                <c:pt idx="63">
                  <c:v>0.61457117811640793</c:v>
                </c:pt>
                <c:pt idx="64">
                  <c:v>0.61457117811640793</c:v>
                </c:pt>
                <c:pt idx="65">
                  <c:v>1.2291423562328159</c:v>
                </c:pt>
                <c:pt idx="66">
                  <c:v>1.2291423562328159</c:v>
                </c:pt>
                <c:pt idx="67">
                  <c:v>1.2291423562328159</c:v>
                </c:pt>
                <c:pt idx="68">
                  <c:v>1.2291423562328159</c:v>
                </c:pt>
                <c:pt idx="69">
                  <c:v>1.2291423562328159</c:v>
                </c:pt>
                <c:pt idx="70">
                  <c:v>2.4582847124656317</c:v>
                </c:pt>
                <c:pt idx="71">
                  <c:v>2.4582847124656317</c:v>
                </c:pt>
                <c:pt idx="72">
                  <c:v>2.4582847124656317</c:v>
                </c:pt>
                <c:pt idx="73">
                  <c:v>2.4582847124656317</c:v>
                </c:pt>
                <c:pt idx="74">
                  <c:v>2.4582847124656317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continous data model (new)'!$F$227:$F$316</c:f>
              <c:numCache>
                <c:formatCode>0.00</c:formatCode>
                <c:ptCount val="90"/>
                <c:pt idx="0">
                  <c:v>94.990559077305306</c:v>
                </c:pt>
                <c:pt idx="1">
                  <c:v>117.99055907730531</c:v>
                </c:pt>
                <c:pt idx="2">
                  <c:v>162.99055907730531</c:v>
                </c:pt>
                <c:pt idx="3">
                  <c:v>94.990559077305306</c:v>
                </c:pt>
                <c:pt idx="4">
                  <c:v>85.990559077305306</c:v>
                </c:pt>
                <c:pt idx="5">
                  <c:v>183.44916900903581</c:v>
                </c:pt>
                <c:pt idx="6">
                  <c:v>129.44916900903581</c:v>
                </c:pt>
                <c:pt idx="7">
                  <c:v>59.449169009035813</c:v>
                </c:pt>
                <c:pt idx="8">
                  <c:v>118.44916900903581</c:v>
                </c:pt>
                <c:pt idx="9">
                  <c:v>85.449169009035813</c:v>
                </c:pt>
                <c:pt idx="10">
                  <c:v>80.792773795190669</c:v>
                </c:pt>
                <c:pt idx="11">
                  <c:v>116.79277379519067</c:v>
                </c:pt>
                <c:pt idx="12">
                  <c:v>154.79277379519067</c:v>
                </c:pt>
                <c:pt idx="13">
                  <c:v>48.792773795190669</c:v>
                </c:pt>
                <c:pt idx="14">
                  <c:v>52.792773795190669</c:v>
                </c:pt>
                <c:pt idx="15">
                  <c:v>39.530680237206525</c:v>
                </c:pt>
                <c:pt idx="16">
                  <c:v>354.53068023720652</c:v>
                </c:pt>
                <c:pt idx="17">
                  <c:v>-28.469319762793475</c:v>
                </c:pt>
                <c:pt idx="18">
                  <c:v>307.53068023720652</c:v>
                </c:pt>
                <c:pt idx="19">
                  <c:v>310.53068023720652</c:v>
                </c:pt>
                <c:pt idx="20">
                  <c:v>109.09621020264731</c:v>
                </c:pt>
                <c:pt idx="21">
                  <c:v>169.09621020264731</c:v>
                </c:pt>
                <c:pt idx="22">
                  <c:v>209.09621020264731</c:v>
                </c:pt>
                <c:pt idx="23">
                  <c:v>9.0962102026473133</c:v>
                </c:pt>
                <c:pt idx="24">
                  <c:v>9.0962102026473133</c:v>
                </c:pt>
                <c:pt idx="25">
                  <c:v>46.967230482011473</c:v>
                </c:pt>
                <c:pt idx="26">
                  <c:v>22.967230482011473</c:v>
                </c:pt>
                <c:pt idx="27">
                  <c:v>-183.03276951798853</c:v>
                </c:pt>
                <c:pt idx="28">
                  <c:v>58.967230482011473</c:v>
                </c:pt>
                <c:pt idx="29">
                  <c:v>-42.032769517988527</c:v>
                </c:pt>
                <c:pt idx="30">
                  <c:v>27.377726567519176</c:v>
                </c:pt>
                <c:pt idx="31">
                  <c:v>-42.622273432480824</c:v>
                </c:pt>
                <c:pt idx="32">
                  <c:v>20.377726567519176</c:v>
                </c:pt>
                <c:pt idx="33">
                  <c:v>62.377726567519176</c:v>
                </c:pt>
                <c:pt idx="34">
                  <c:v>-46.622273432480824</c:v>
                </c:pt>
                <c:pt idx="35">
                  <c:v>-12.567525272870625</c:v>
                </c:pt>
                <c:pt idx="36">
                  <c:v>-61.567525272870625</c:v>
                </c:pt>
                <c:pt idx="37">
                  <c:v>-158.56752527287063</c:v>
                </c:pt>
                <c:pt idx="38">
                  <c:v>-135.56752527287063</c:v>
                </c:pt>
                <c:pt idx="39">
                  <c:v>-138.56752527287063</c:v>
                </c:pt>
                <c:pt idx="40">
                  <c:v>-13.88573082607407</c:v>
                </c:pt>
                <c:pt idx="41">
                  <c:v>67.114269173925933</c:v>
                </c:pt>
                <c:pt idx="42">
                  <c:v>-14.88573082607407</c:v>
                </c:pt>
                <c:pt idx="43">
                  <c:v>4.1142691739259298</c:v>
                </c:pt>
                <c:pt idx="44">
                  <c:v>37.114269173925933</c:v>
                </c:pt>
                <c:pt idx="45">
                  <c:v>-0.24024572561931268</c:v>
                </c:pt>
                <c:pt idx="46">
                  <c:v>-0.24024572561931268</c:v>
                </c:pt>
                <c:pt idx="47">
                  <c:v>64.759754274380683</c:v>
                </c:pt>
                <c:pt idx="48">
                  <c:v>-0.24024572561931268</c:v>
                </c:pt>
                <c:pt idx="49">
                  <c:v>-0.24024572561931268</c:v>
                </c:pt>
                <c:pt idx="50">
                  <c:v>17.717181810268812</c:v>
                </c:pt>
                <c:pt idx="51">
                  <c:v>-28.282818189731188</c:v>
                </c:pt>
                <c:pt idx="52">
                  <c:v>-32.282818189731188</c:v>
                </c:pt>
                <c:pt idx="53">
                  <c:v>98.717181810268812</c:v>
                </c:pt>
                <c:pt idx="54">
                  <c:v>-69.282818189731188</c:v>
                </c:pt>
                <c:pt idx="55">
                  <c:v>4.6412441410825522</c:v>
                </c:pt>
                <c:pt idx="56">
                  <c:v>-37.358755858917448</c:v>
                </c:pt>
                <c:pt idx="57">
                  <c:v>-112.35875585891745</c:v>
                </c:pt>
                <c:pt idx="58">
                  <c:v>26.641244141082552</c:v>
                </c:pt>
                <c:pt idx="59">
                  <c:v>124.64124414108255</c:v>
                </c:pt>
                <c:pt idx="60">
                  <c:v>45.669795722008303</c:v>
                </c:pt>
                <c:pt idx="61">
                  <c:v>-34.330204277991697</c:v>
                </c:pt>
                <c:pt idx="62">
                  <c:v>54.669795722008303</c:v>
                </c:pt>
                <c:pt idx="63">
                  <c:v>25.669795722008303</c:v>
                </c:pt>
                <c:pt idx="64">
                  <c:v>-83.330204277991697</c:v>
                </c:pt>
                <c:pt idx="65">
                  <c:v>4.463775951785891</c:v>
                </c:pt>
                <c:pt idx="66">
                  <c:v>-78.536224048214109</c:v>
                </c:pt>
                <c:pt idx="67">
                  <c:v>19.463775951785891</c:v>
                </c:pt>
                <c:pt idx="68">
                  <c:v>29.463775951785891</c:v>
                </c:pt>
                <c:pt idx="69">
                  <c:v>-113.53622404821411</c:v>
                </c:pt>
                <c:pt idx="70">
                  <c:v>0.98146394835247275</c:v>
                </c:pt>
                <c:pt idx="71">
                  <c:v>0.98146394835247275</c:v>
                </c:pt>
                <c:pt idx="72">
                  <c:v>4.9814639483524727</c:v>
                </c:pt>
                <c:pt idx="73">
                  <c:v>-1.8536051647527252E-2</c:v>
                </c:pt>
                <c:pt idx="74">
                  <c:v>1.9814639483524727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93-4016-8227-E10397759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54624"/>
        <c:axId val="1"/>
      </c:scatterChart>
      <c:valAx>
        <c:axId val="1552254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47918156431738224"/>
              <c:y val="0.864831825601293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4.5834758326010479E-2"/>
              <c:y val="0.3986152080264722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5225462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DR to the complete data set</a:t>
            </a:r>
          </a:p>
        </c:rich>
      </c:tx>
      <c:layout>
        <c:manualLayout>
          <c:xMode val="edge"/>
          <c:yMode val="edge"/>
          <c:x val="0.15933459421524304"/>
          <c:y val="3.88361452713966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36774460532159"/>
          <c:y val="0.28884383045601258"/>
          <c:w val="0.66668948632167491"/>
          <c:h val="0.4466156706210614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continous data model (new)'!$L$227:$L$316</c:f>
              <c:numCache>
                <c:formatCode>General</c:formatCode>
                <c:ptCount val="90"/>
                <c:pt idx="0">
                  <c:v>8.1268266540086148E-2</c:v>
                </c:pt>
                <c:pt idx="1">
                  <c:v>8.1268266540086148E-2</c:v>
                </c:pt>
                <c:pt idx="2">
                  <c:v>8.1268266540086148E-2</c:v>
                </c:pt>
                <c:pt idx="3">
                  <c:v>8.1268266540086148E-2</c:v>
                </c:pt>
                <c:pt idx="4">
                  <c:v>8.1268266540086148E-2</c:v>
                </c:pt>
                <c:pt idx="5">
                  <c:v>0.1625365330801723</c:v>
                </c:pt>
                <c:pt idx="6">
                  <c:v>0.1625365330801723</c:v>
                </c:pt>
                <c:pt idx="7">
                  <c:v>0.1625365330801723</c:v>
                </c:pt>
                <c:pt idx="8">
                  <c:v>0.1625365330801723</c:v>
                </c:pt>
                <c:pt idx="9">
                  <c:v>0.1625365330801723</c:v>
                </c:pt>
                <c:pt idx="10">
                  <c:v>0.32507306616034459</c:v>
                </c:pt>
                <c:pt idx="11">
                  <c:v>0.32507306616034459</c:v>
                </c:pt>
                <c:pt idx="12">
                  <c:v>0.32507306616034459</c:v>
                </c:pt>
                <c:pt idx="13">
                  <c:v>0.32507306616034459</c:v>
                </c:pt>
                <c:pt idx="14">
                  <c:v>0.32507306616034459</c:v>
                </c:pt>
                <c:pt idx="15">
                  <c:v>0.65014613232068919</c:v>
                </c:pt>
                <c:pt idx="16">
                  <c:v>0.65014613232068919</c:v>
                </c:pt>
                <c:pt idx="17">
                  <c:v>0.65014613232068919</c:v>
                </c:pt>
                <c:pt idx="18">
                  <c:v>0.65014613232068919</c:v>
                </c:pt>
                <c:pt idx="19">
                  <c:v>0.65014613232068919</c:v>
                </c:pt>
                <c:pt idx="20">
                  <c:v>1.3002922646413784</c:v>
                </c:pt>
                <c:pt idx="21">
                  <c:v>1.3002922646413784</c:v>
                </c:pt>
                <c:pt idx="22">
                  <c:v>1.3002922646413784</c:v>
                </c:pt>
                <c:pt idx="23">
                  <c:v>1.3002922646413784</c:v>
                </c:pt>
                <c:pt idx="24">
                  <c:v>1.3002922646413784</c:v>
                </c:pt>
                <c:pt idx="25">
                  <c:v>0.23880479961718354</c:v>
                </c:pt>
                <c:pt idx="26">
                  <c:v>0.23880479961718354</c:v>
                </c:pt>
                <c:pt idx="27">
                  <c:v>0.23880479961718354</c:v>
                </c:pt>
                <c:pt idx="28">
                  <c:v>0.23880479961718354</c:v>
                </c:pt>
                <c:pt idx="29">
                  <c:v>0.23880479961718354</c:v>
                </c:pt>
                <c:pt idx="30">
                  <c:v>0.47760959923436708</c:v>
                </c:pt>
                <c:pt idx="31">
                  <c:v>0.47760959923436708</c:v>
                </c:pt>
                <c:pt idx="32">
                  <c:v>0.47760959923436708</c:v>
                </c:pt>
                <c:pt idx="33">
                  <c:v>0.47760959923436708</c:v>
                </c:pt>
                <c:pt idx="34">
                  <c:v>0.47760959923436708</c:v>
                </c:pt>
                <c:pt idx="35">
                  <c:v>0.95521919846873415</c:v>
                </c:pt>
                <c:pt idx="36">
                  <c:v>0.95521919846873415</c:v>
                </c:pt>
                <c:pt idx="37">
                  <c:v>0.95521919846873415</c:v>
                </c:pt>
                <c:pt idx="38">
                  <c:v>0.95521919846873415</c:v>
                </c:pt>
                <c:pt idx="39">
                  <c:v>0.95521919846873415</c:v>
                </c:pt>
                <c:pt idx="40">
                  <c:v>1.9104383969374683</c:v>
                </c:pt>
                <c:pt idx="41">
                  <c:v>1.9104383969374683</c:v>
                </c:pt>
                <c:pt idx="42">
                  <c:v>1.9104383969374683</c:v>
                </c:pt>
                <c:pt idx="43">
                  <c:v>1.9104383969374683</c:v>
                </c:pt>
                <c:pt idx="44">
                  <c:v>1.9104383969374683</c:v>
                </c:pt>
                <c:pt idx="45">
                  <c:v>3.8208767938749366</c:v>
                </c:pt>
                <c:pt idx="46">
                  <c:v>3.8208767938749366</c:v>
                </c:pt>
                <c:pt idx="47">
                  <c:v>3.8208767938749366</c:v>
                </c:pt>
                <c:pt idx="48">
                  <c:v>3.8208767938749366</c:v>
                </c:pt>
                <c:pt idx="49">
                  <c:v>3.8208767938749366</c:v>
                </c:pt>
                <c:pt idx="50">
                  <c:v>0.16003653307863483</c:v>
                </c:pt>
                <c:pt idx="51">
                  <c:v>0.16003653307863483</c:v>
                </c:pt>
                <c:pt idx="52">
                  <c:v>0.16003653307863483</c:v>
                </c:pt>
                <c:pt idx="53">
                  <c:v>0.16003653307863483</c:v>
                </c:pt>
                <c:pt idx="54">
                  <c:v>0.16003653307863483</c:v>
                </c:pt>
                <c:pt idx="55">
                  <c:v>0.32007306615726966</c:v>
                </c:pt>
                <c:pt idx="56">
                  <c:v>0.32007306615726966</c:v>
                </c:pt>
                <c:pt idx="57">
                  <c:v>0.32007306615726966</c:v>
                </c:pt>
                <c:pt idx="58">
                  <c:v>0.32007306615726966</c:v>
                </c:pt>
                <c:pt idx="59">
                  <c:v>0.32007306615726966</c:v>
                </c:pt>
                <c:pt idx="60">
                  <c:v>0.64014613231453932</c:v>
                </c:pt>
                <c:pt idx="61">
                  <c:v>0.64014613231453932</c:v>
                </c:pt>
                <c:pt idx="62">
                  <c:v>0.64014613231453932</c:v>
                </c:pt>
                <c:pt idx="63">
                  <c:v>0.64014613231453932</c:v>
                </c:pt>
                <c:pt idx="64">
                  <c:v>0.64014613231453932</c:v>
                </c:pt>
                <c:pt idx="65">
                  <c:v>1.2802922646290786</c:v>
                </c:pt>
                <c:pt idx="66">
                  <c:v>1.2802922646290786</c:v>
                </c:pt>
                <c:pt idx="67">
                  <c:v>1.2802922646290786</c:v>
                </c:pt>
                <c:pt idx="68">
                  <c:v>1.2802922646290786</c:v>
                </c:pt>
                <c:pt idx="69">
                  <c:v>1.2802922646290786</c:v>
                </c:pt>
                <c:pt idx="70">
                  <c:v>2.5605845292581573</c:v>
                </c:pt>
                <c:pt idx="71">
                  <c:v>2.5605845292581573</c:v>
                </c:pt>
                <c:pt idx="72">
                  <c:v>2.5605845292581573</c:v>
                </c:pt>
                <c:pt idx="73">
                  <c:v>2.5605845292581573</c:v>
                </c:pt>
                <c:pt idx="74">
                  <c:v>2.5605845292581573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continous data model (new)'!$M$227:$M$316</c:f>
              <c:numCache>
                <c:formatCode>0.00</c:formatCode>
                <c:ptCount val="90"/>
                <c:pt idx="0">
                  <c:v>91.063000267460211</c:v>
                </c:pt>
                <c:pt idx="1">
                  <c:v>114.06300026746021</c:v>
                </c:pt>
                <c:pt idx="2">
                  <c:v>159.06300026746021</c:v>
                </c:pt>
                <c:pt idx="3">
                  <c:v>91.063000267460211</c:v>
                </c:pt>
                <c:pt idx="4">
                  <c:v>82.063000267460211</c:v>
                </c:pt>
                <c:pt idx="5">
                  <c:v>177.79836255610985</c:v>
                </c:pt>
                <c:pt idx="6">
                  <c:v>123.79836255610985</c:v>
                </c:pt>
                <c:pt idx="7">
                  <c:v>53.798362556109851</c:v>
                </c:pt>
                <c:pt idx="8">
                  <c:v>112.79836255610985</c:v>
                </c:pt>
                <c:pt idx="9">
                  <c:v>79.798362556109851</c:v>
                </c:pt>
                <c:pt idx="10">
                  <c:v>71.263442638955212</c:v>
                </c:pt>
                <c:pt idx="11">
                  <c:v>107.26344263895521</c:v>
                </c:pt>
                <c:pt idx="12">
                  <c:v>145.26344263895521</c:v>
                </c:pt>
                <c:pt idx="13">
                  <c:v>39.263442638955212</c:v>
                </c:pt>
                <c:pt idx="14">
                  <c:v>43.263442638955212</c:v>
                </c:pt>
                <c:pt idx="15">
                  <c:v>14.93550067729916</c:v>
                </c:pt>
                <c:pt idx="16">
                  <c:v>329.93550067729916</c:v>
                </c:pt>
                <c:pt idx="17">
                  <c:v>-53.06449932270084</c:v>
                </c:pt>
                <c:pt idx="18">
                  <c:v>282.93550067729916</c:v>
                </c:pt>
                <c:pt idx="19">
                  <c:v>285.93550067729916</c:v>
                </c:pt>
                <c:pt idx="20">
                  <c:v>-21.514627404296675</c:v>
                </c:pt>
                <c:pt idx="21">
                  <c:v>38.485372595703325</c:v>
                </c:pt>
                <c:pt idx="22">
                  <c:v>78.485372595703325</c:v>
                </c:pt>
                <c:pt idx="23">
                  <c:v>-121.51462740429668</c:v>
                </c:pt>
                <c:pt idx="24">
                  <c:v>-121.51462740429668</c:v>
                </c:pt>
                <c:pt idx="25">
                  <c:v>47.836318528637321</c:v>
                </c:pt>
                <c:pt idx="26">
                  <c:v>23.836318528637321</c:v>
                </c:pt>
                <c:pt idx="27">
                  <c:v>-182.16368147136268</c:v>
                </c:pt>
                <c:pt idx="28">
                  <c:v>59.836318528637321</c:v>
                </c:pt>
                <c:pt idx="29">
                  <c:v>-41.163681471362679</c:v>
                </c:pt>
                <c:pt idx="30">
                  <c:v>29.070946537077361</c:v>
                </c:pt>
                <c:pt idx="31">
                  <c:v>-40.929053462922639</c:v>
                </c:pt>
                <c:pt idx="32">
                  <c:v>22.070946537077361</c:v>
                </c:pt>
                <c:pt idx="33">
                  <c:v>64.070946537077361</c:v>
                </c:pt>
                <c:pt idx="34">
                  <c:v>-44.929053462922639</c:v>
                </c:pt>
                <c:pt idx="35">
                  <c:v>40.186783289920413</c:v>
                </c:pt>
                <c:pt idx="36">
                  <c:v>-8.8132167100795868</c:v>
                </c:pt>
                <c:pt idx="37">
                  <c:v>-105.81321671007959</c:v>
                </c:pt>
                <c:pt idx="38">
                  <c:v>-82.813216710079587</c:v>
                </c:pt>
                <c:pt idx="39">
                  <c:v>-85.813216710079587</c:v>
                </c:pt>
                <c:pt idx="40">
                  <c:v>-2.9924797465167563</c:v>
                </c:pt>
                <c:pt idx="41">
                  <c:v>78.00752025348325</c:v>
                </c:pt>
                <c:pt idx="42">
                  <c:v>-3.9924797465167563</c:v>
                </c:pt>
                <c:pt idx="43">
                  <c:v>15.007520253483243</c:v>
                </c:pt>
                <c:pt idx="44">
                  <c:v>48.007520253483243</c:v>
                </c:pt>
                <c:pt idx="45">
                  <c:v>-4.8315241080605802E-2</c:v>
                </c:pt>
                <c:pt idx="46">
                  <c:v>-4.8315241080605802E-2</c:v>
                </c:pt>
                <c:pt idx="47">
                  <c:v>64.951684758919399</c:v>
                </c:pt>
                <c:pt idx="48">
                  <c:v>-4.8315241080605802E-2</c:v>
                </c:pt>
                <c:pt idx="49">
                  <c:v>-4.8315241080605802E-2</c:v>
                </c:pt>
                <c:pt idx="50">
                  <c:v>18.83963250204215</c:v>
                </c:pt>
                <c:pt idx="51">
                  <c:v>-27.16036749795785</c:v>
                </c:pt>
                <c:pt idx="52">
                  <c:v>-31.16036749795785</c:v>
                </c:pt>
                <c:pt idx="53">
                  <c:v>99.83963250204215</c:v>
                </c:pt>
                <c:pt idx="54">
                  <c:v>-68.16036749795785</c:v>
                </c:pt>
                <c:pt idx="55">
                  <c:v>6.307340493465972</c:v>
                </c:pt>
                <c:pt idx="56">
                  <c:v>-35.692659506534028</c:v>
                </c:pt>
                <c:pt idx="57">
                  <c:v>-110.69265950653403</c:v>
                </c:pt>
                <c:pt idx="58">
                  <c:v>28.307340493465972</c:v>
                </c:pt>
                <c:pt idx="59">
                  <c:v>126.30734049346597</c:v>
                </c:pt>
                <c:pt idx="60">
                  <c:v>50.370972065152046</c:v>
                </c:pt>
                <c:pt idx="61">
                  <c:v>-29.629027934847954</c:v>
                </c:pt>
                <c:pt idx="62">
                  <c:v>59.370972065152046</c:v>
                </c:pt>
                <c:pt idx="63">
                  <c:v>30.370972065152046</c:v>
                </c:pt>
                <c:pt idx="64">
                  <c:v>-78.629027934847954</c:v>
                </c:pt>
                <c:pt idx="65">
                  <c:v>70.880784527971258</c:v>
                </c:pt>
                <c:pt idx="66">
                  <c:v>-12.119215472028742</c:v>
                </c:pt>
                <c:pt idx="67">
                  <c:v>85.880784527971258</c:v>
                </c:pt>
                <c:pt idx="68">
                  <c:v>95.880784527971258</c:v>
                </c:pt>
                <c:pt idx="69">
                  <c:v>-47.119215472028742</c:v>
                </c:pt>
                <c:pt idx="70">
                  <c:v>3.1068492628412607</c:v>
                </c:pt>
                <c:pt idx="71">
                  <c:v>3.1068492628412607</c:v>
                </c:pt>
                <c:pt idx="72">
                  <c:v>7.1068492628412603</c:v>
                </c:pt>
                <c:pt idx="73">
                  <c:v>2.1068492628412607</c:v>
                </c:pt>
                <c:pt idx="74">
                  <c:v>4.1068492628412603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7F-4B3F-A451-C4D0C5ED3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65536"/>
        <c:axId val="1"/>
      </c:scatterChart>
      <c:valAx>
        <c:axId val="1552265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48010029046435077"/>
              <c:y val="0.85924971412965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4.6123172009675618E-2"/>
              <c:y val="0.3932159708728910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5226553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DL to the complete data set</a:t>
            </a:r>
          </a:p>
        </c:rich>
      </c:tx>
      <c:layout>
        <c:manualLayout>
          <c:xMode val="edge"/>
          <c:yMode val="edge"/>
          <c:x val="0.12025711324363446"/>
          <c:y val="3.8561727281692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629467865415893"/>
          <c:y val="0.2827860000657445"/>
          <c:w val="0.68567652288037195"/>
          <c:h val="0.4627407273803091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continous data model (new)'!$O$227:$O$316</c:f>
              <c:numCache>
                <c:formatCode>General</c:formatCode>
                <c:ptCount val="90"/>
                <c:pt idx="0">
                  <c:v>8.2461781781126883E-2</c:v>
                </c:pt>
                <c:pt idx="1">
                  <c:v>8.2461781781126883E-2</c:v>
                </c:pt>
                <c:pt idx="2">
                  <c:v>8.2461781781126883E-2</c:v>
                </c:pt>
                <c:pt idx="3">
                  <c:v>8.2461781781126883E-2</c:v>
                </c:pt>
                <c:pt idx="4">
                  <c:v>8.2461781781126883E-2</c:v>
                </c:pt>
                <c:pt idx="5">
                  <c:v>0.16492356356225377</c:v>
                </c:pt>
                <c:pt idx="6">
                  <c:v>0.16492356356225377</c:v>
                </c:pt>
                <c:pt idx="7">
                  <c:v>0.16492356356225377</c:v>
                </c:pt>
                <c:pt idx="8">
                  <c:v>0.16492356356225377</c:v>
                </c:pt>
                <c:pt idx="9">
                  <c:v>0.16492356356225377</c:v>
                </c:pt>
                <c:pt idx="10">
                  <c:v>0.32984712712450753</c:v>
                </c:pt>
                <c:pt idx="11">
                  <c:v>0.32984712712450753</c:v>
                </c:pt>
                <c:pt idx="12">
                  <c:v>0.32984712712450753</c:v>
                </c:pt>
                <c:pt idx="13">
                  <c:v>0.32984712712450753</c:v>
                </c:pt>
                <c:pt idx="14">
                  <c:v>0.32984712712450753</c:v>
                </c:pt>
                <c:pt idx="15">
                  <c:v>0.65969425424901507</c:v>
                </c:pt>
                <c:pt idx="16">
                  <c:v>0.65969425424901507</c:v>
                </c:pt>
                <c:pt idx="17">
                  <c:v>0.65969425424901507</c:v>
                </c:pt>
                <c:pt idx="18">
                  <c:v>0.65969425424901507</c:v>
                </c:pt>
                <c:pt idx="19">
                  <c:v>0.65969425424901507</c:v>
                </c:pt>
                <c:pt idx="20">
                  <c:v>1.3193885084980301</c:v>
                </c:pt>
                <c:pt idx="21">
                  <c:v>1.3193885084980301</c:v>
                </c:pt>
                <c:pt idx="22">
                  <c:v>1.3193885084980301</c:v>
                </c:pt>
                <c:pt idx="23">
                  <c:v>1.3193885084980301</c:v>
                </c:pt>
                <c:pt idx="24">
                  <c:v>1.3193885084980301</c:v>
                </c:pt>
                <c:pt idx="25">
                  <c:v>0.2423853453433806</c:v>
                </c:pt>
                <c:pt idx="26">
                  <c:v>0.2423853453433806</c:v>
                </c:pt>
                <c:pt idx="27">
                  <c:v>0.2423853453433806</c:v>
                </c:pt>
                <c:pt idx="28">
                  <c:v>0.2423853453433806</c:v>
                </c:pt>
                <c:pt idx="29">
                  <c:v>0.2423853453433806</c:v>
                </c:pt>
                <c:pt idx="30">
                  <c:v>0.48477069068676121</c:v>
                </c:pt>
                <c:pt idx="31">
                  <c:v>0.48477069068676121</c:v>
                </c:pt>
                <c:pt idx="32">
                  <c:v>0.48477069068676121</c:v>
                </c:pt>
                <c:pt idx="33">
                  <c:v>0.48477069068676121</c:v>
                </c:pt>
                <c:pt idx="34">
                  <c:v>0.48477069068676121</c:v>
                </c:pt>
                <c:pt idx="35">
                  <c:v>0.96954138137352242</c:v>
                </c:pt>
                <c:pt idx="36">
                  <c:v>0.96954138137352242</c:v>
                </c:pt>
                <c:pt idx="37">
                  <c:v>0.96954138137352242</c:v>
                </c:pt>
                <c:pt idx="38">
                  <c:v>0.96954138137352242</c:v>
                </c:pt>
                <c:pt idx="39">
                  <c:v>0.96954138137352242</c:v>
                </c:pt>
                <c:pt idx="40">
                  <c:v>1.9390827627470448</c:v>
                </c:pt>
                <c:pt idx="41">
                  <c:v>1.9390827627470448</c:v>
                </c:pt>
                <c:pt idx="42">
                  <c:v>1.9390827627470448</c:v>
                </c:pt>
                <c:pt idx="43">
                  <c:v>1.9390827627470448</c:v>
                </c:pt>
                <c:pt idx="44">
                  <c:v>1.9390827627470448</c:v>
                </c:pt>
                <c:pt idx="45">
                  <c:v>3.8781655254940897</c:v>
                </c:pt>
                <c:pt idx="46">
                  <c:v>3.8781655254940897</c:v>
                </c:pt>
                <c:pt idx="47">
                  <c:v>3.8781655254940897</c:v>
                </c:pt>
                <c:pt idx="48">
                  <c:v>3.8781655254940897</c:v>
                </c:pt>
                <c:pt idx="49">
                  <c:v>3.8781655254940897</c:v>
                </c:pt>
                <c:pt idx="50">
                  <c:v>0.16242356356225376</c:v>
                </c:pt>
                <c:pt idx="51">
                  <c:v>0.16242356356225376</c:v>
                </c:pt>
                <c:pt idx="52">
                  <c:v>0.16242356356225376</c:v>
                </c:pt>
                <c:pt idx="53">
                  <c:v>0.16242356356225376</c:v>
                </c:pt>
                <c:pt idx="54">
                  <c:v>0.16242356356225376</c:v>
                </c:pt>
                <c:pt idx="55">
                  <c:v>0.32484712712450753</c:v>
                </c:pt>
                <c:pt idx="56">
                  <c:v>0.32484712712450753</c:v>
                </c:pt>
                <c:pt idx="57">
                  <c:v>0.32484712712450753</c:v>
                </c:pt>
                <c:pt idx="58">
                  <c:v>0.32484712712450753</c:v>
                </c:pt>
                <c:pt idx="59">
                  <c:v>0.32484712712450753</c:v>
                </c:pt>
                <c:pt idx="60">
                  <c:v>0.64969425424901506</c:v>
                </c:pt>
                <c:pt idx="61">
                  <c:v>0.64969425424901506</c:v>
                </c:pt>
                <c:pt idx="62">
                  <c:v>0.64969425424901506</c:v>
                </c:pt>
                <c:pt idx="63">
                  <c:v>0.64969425424901506</c:v>
                </c:pt>
                <c:pt idx="64">
                  <c:v>0.64969425424901506</c:v>
                </c:pt>
                <c:pt idx="65">
                  <c:v>1.2993885084980301</c:v>
                </c:pt>
                <c:pt idx="66">
                  <c:v>1.2993885084980301</c:v>
                </c:pt>
                <c:pt idx="67">
                  <c:v>1.2993885084980301</c:v>
                </c:pt>
                <c:pt idx="68">
                  <c:v>1.2993885084980301</c:v>
                </c:pt>
                <c:pt idx="69">
                  <c:v>1.2993885084980301</c:v>
                </c:pt>
                <c:pt idx="70">
                  <c:v>2.5987770169960602</c:v>
                </c:pt>
                <c:pt idx="71">
                  <c:v>2.5987770169960602</c:v>
                </c:pt>
                <c:pt idx="72">
                  <c:v>2.5987770169960602</c:v>
                </c:pt>
                <c:pt idx="73">
                  <c:v>2.5987770169960602</c:v>
                </c:pt>
                <c:pt idx="74">
                  <c:v>2.5987770169960602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continous data model (new)'!$P$227:$P$316</c:f>
              <c:numCache>
                <c:formatCode>0.00</c:formatCode>
                <c:ptCount val="90"/>
                <c:pt idx="0">
                  <c:v>33.53921784012482</c:v>
                </c:pt>
                <c:pt idx="1">
                  <c:v>56.53921784012482</c:v>
                </c:pt>
                <c:pt idx="2">
                  <c:v>101.53921784012482</c:v>
                </c:pt>
                <c:pt idx="3">
                  <c:v>33.53921784012482</c:v>
                </c:pt>
                <c:pt idx="4">
                  <c:v>24.53921784012482</c:v>
                </c:pt>
                <c:pt idx="5">
                  <c:v>106.43229384476263</c:v>
                </c:pt>
                <c:pt idx="6">
                  <c:v>52.432293844762626</c:v>
                </c:pt>
                <c:pt idx="7">
                  <c:v>-17.567706155237374</c:v>
                </c:pt>
                <c:pt idx="8">
                  <c:v>41.432293844762626</c:v>
                </c:pt>
                <c:pt idx="9">
                  <c:v>8.4322938447626257</c:v>
                </c:pt>
                <c:pt idx="10">
                  <c:v>-15.758903391245894</c:v>
                </c:pt>
                <c:pt idx="11">
                  <c:v>20.241096608754106</c:v>
                </c:pt>
                <c:pt idx="12">
                  <c:v>58.241096608754106</c:v>
                </c:pt>
                <c:pt idx="13">
                  <c:v>-47.758903391245894</c:v>
                </c:pt>
                <c:pt idx="14">
                  <c:v>-43.758903391245894</c:v>
                </c:pt>
                <c:pt idx="15">
                  <c:v>-86.01137925287162</c:v>
                </c:pt>
                <c:pt idx="16">
                  <c:v>228.98862074712838</c:v>
                </c:pt>
                <c:pt idx="17">
                  <c:v>-154.01137925287162</c:v>
                </c:pt>
                <c:pt idx="18">
                  <c:v>181.98862074712838</c:v>
                </c:pt>
                <c:pt idx="19">
                  <c:v>184.98862074712838</c:v>
                </c:pt>
                <c:pt idx="20">
                  <c:v>23.271105359903117</c:v>
                </c:pt>
                <c:pt idx="21">
                  <c:v>83.271105359903117</c:v>
                </c:pt>
                <c:pt idx="22">
                  <c:v>123.27110535990312</c:v>
                </c:pt>
                <c:pt idx="23">
                  <c:v>-76.728894640096883</c:v>
                </c:pt>
                <c:pt idx="24">
                  <c:v>-76.728894640096883</c:v>
                </c:pt>
                <c:pt idx="25">
                  <c:v>99.888868589461254</c:v>
                </c:pt>
                <c:pt idx="26">
                  <c:v>75.888868589461254</c:v>
                </c:pt>
                <c:pt idx="27">
                  <c:v>-130.11113141053875</c:v>
                </c:pt>
                <c:pt idx="28">
                  <c:v>111.88886858946125</c:v>
                </c:pt>
                <c:pt idx="29">
                  <c:v>10.888868589461254</c:v>
                </c:pt>
                <c:pt idx="30">
                  <c:v>75.568356476763029</c:v>
                </c:pt>
                <c:pt idx="31">
                  <c:v>5.5683564767630287</c:v>
                </c:pt>
                <c:pt idx="32">
                  <c:v>68.568356476763029</c:v>
                </c:pt>
                <c:pt idx="33">
                  <c:v>110.56835647676303</c:v>
                </c:pt>
                <c:pt idx="34">
                  <c:v>1.5683564767630287</c:v>
                </c:pt>
                <c:pt idx="35">
                  <c:v>-113.85390721439876</c:v>
                </c:pt>
                <c:pt idx="36">
                  <c:v>-162.85390721439876</c:v>
                </c:pt>
                <c:pt idx="37">
                  <c:v>-259.85390721439876</c:v>
                </c:pt>
                <c:pt idx="38">
                  <c:v>-236.85390721439876</c:v>
                </c:pt>
                <c:pt idx="39">
                  <c:v>-239.85390721439876</c:v>
                </c:pt>
                <c:pt idx="40">
                  <c:v>3.9746936133080144</c:v>
                </c:pt>
                <c:pt idx="41">
                  <c:v>84.97469361330802</c:v>
                </c:pt>
                <c:pt idx="42">
                  <c:v>2.9746936133080144</c:v>
                </c:pt>
                <c:pt idx="43">
                  <c:v>21.974693613308013</c:v>
                </c:pt>
                <c:pt idx="44">
                  <c:v>54.974693613308013</c:v>
                </c:pt>
                <c:pt idx="45">
                  <c:v>-9.3175246794627751E-12</c:v>
                </c:pt>
                <c:pt idx="46">
                  <c:v>-9.3175246794627751E-12</c:v>
                </c:pt>
                <c:pt idx="47">
                  <c:v>64.999999999990678</c:v>
                </c:pt>
                <c:pt idx="48">
                  <c:v>-9.3175246794627751E-12</c:v>
                </c:pt>
                <c:pt idx="49">
                  <c:v>-9.3175246794627751E-12</c:v>
                </c:pt>
                <c:pt idx="50">
                  <c:v>25.929113857231641</c:v>
                </c:pt>
                <c:pt idx="51">
                  <c:v>-20.070886142768359</c:v>
                </c:pt>
                <c:pt idx="52">
                  <c:v>-24.070886142768359</c:v>
                </c:pt>
                <c:pt idx="53">
                  <c:v>106.92911385723164</c:v>
                </c:pt>
                <c:pt idx="54">
                  <c:v>-61.070886142768359</c:v>
                </c:pt>
                <c:pt idx="55">
                  <c:v>7.8520454073752717</c:v>
                </c:pt>
                <c:pt idx="56">
                  <c:v>-34.147954592624728</c:v>
                </c:pt>
                <c:pt idx="57">
                  <c:v>-109.14795459262473</c:v>
                </c:pt>
                <c:pt idx="58">
                  <c:v>29.852045407375272</c:v>
                </c:pt>
                <c:pt idx="59">
                  <c:v>127.85204540737527</c:v>
                </c:pt>
                <c:pt idx="60">
                  <c:v>26.446655239772326</c:v>
                </c:pt>
                <c:pt idx="61">
                  <c:v>-53.553344760227674</c:v>
                </c:pt>
                <c:pt idx="62">
                  <c:v>35.446655239772326</c:v>
                </c:pt>
                <c:pt idx="63">
                  <c:v>6.4466552397723262</c:v>
                </c:pt>
                <c:pt idx="64">
                  <c:v>-102.55334476022767</c:v>
                </c:pt>
                <c:pt idx="65">
                  <c:v>-16.424054738928021</c:v>
                </c:pt>
                <c:pt idx="66">
                  <c:v>-99.424054738928021</c:v>
                </c:pt>
                <c:pt idx="67">
                  <c:v>-1.4240547389280209</c:v>
                </c:pt>
                <c:pt idx="68">
                  <c:v>8.5759452610719791</c:v>
                </c:pt>
                <c:pt idx="69">
                  <c:v>-134.42405473892802</c:v>
                </c:pt>
                <c:pt idx="70">
                  <c:v>3.9999999999992832</c:v>
                </c:pt>
                <c:pt idx="71">
                  <c:v>3.9999999999992832</c:v>
                </c:pt>
                <c:pt idx="72">
                  <c:v>7.9999999999992832</c:v>
                </c:pt>
                <c:pt idx="73">
                  <c:v>2.9999999999992832</c:v>
                </c:pt>
                <c:pt idx="74">
                  <c:v>4.9999999999992832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E2-43C4-BE78-72973E733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66032"/>
        <c:axId val="1"/>
      </c:scatterChart>
      <c:valAx>
        <c:axId val="1552266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47469913122487289"/>
              <c:y val="0.861211909291130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4.641502616420979E-2"/>
              <c:y val="0.3984711819108217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5226603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Experimental Design</a:t>
            </a:r>
          </a:p>
        </c:rich>
      </c:tx>
      <c:layout>
        <c:manualLayout>
          <c:xMode val="edge"/>
          <c:yMode val="edge"/>
          <c:x val="0.28105558076982251"/>
          <c:y val="3.81178647382927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222999409706898"/>
          <c:y val="0.14126032226543789"/>
          <c:w val="0.71026449093769106"/>
          <c:h val="0.6233391998379640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continous data model (new)'!$A$25:$A$224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110">
                  <c:v>6.2500000000000003E-3</c:v>
                </c:pt>
                <c:pt idx="111">
                  <c:v>6.2500000000000003E-3</c:v>
                </c:pt>
                <c:pt idx="112">
                  <c:v>6.2500000000000003E-3</c:v>
                </c:pt>
                <c:pt idx="113">
                  <c:v>6.2500000000000003E-3</c:v>
                </c:pt>
                <c:pt idx="114">
                  <c:v>6.2500000000000003E-3</c:v>
                </c:pt>
                <c:pt idx="115">
                  <c:v>1.2500000000000001E-2</c:v>
                </c:pt>
                <c:pt idx="116">
                  <c:v>1.2500000000000001E-2</c:v>
                </c:pt>
                <c:pt idx="117">
                  <c:v>1.2500000000000001E-2</c:v>
                </c:pt>
                <c:pt idx="118">
                  <c:v>1.2500000000000001E-2</c:v>
                </c:pt>
                <c:pt idx="119">
                  <c:v>1.2500000000000001E-2</c:v>
                </c:pt>
                <c:pt idx="120">
                  <c:v>2.5000000000000001E-2</c:v>
                </c:pt>
                <c:pt idx="121">
                  <c:v>2.5000000000000001E-2</c:v>
                </c:pt>
                <c:pt idx="122">
                  <c:v>2.5000000000000001E-2</c:v>
                </c:pt>
                <c:pt idx="123">
                  <c:v>2.5000000000000001E-2</c:v>
                </c:pt>
                <c:pt idx="124">
                  <c:v>2.5000000000000001E-2</c:v>
                </c:pt>
                <c:pt idx="125">
                  <c:v>0.05</c:v>
                </c:pt>
                <c:pt idx="126">
                  <c:v>0.05</c:v>
                </c:pt>
                <c:pt idx="127">
                  <c:v>0.05</c:v>
                </c:pt>
                <c:pt idx="128">
                  <c:v>0.05</c:v>
                </c:pt>
                <c:pt idx="129">
                  <c:v>0.05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1.8749999999999999E-2</c:v>
                </c:pt>
                <c:pt idx="136">
                  <c:v>1.8749999999999999E-2</c:v>
                </c:pt>
                <c:pt idx="137">
                  <c:v>1.8749999999999999E-2</c:v>
                </c:pt>
                <c:pt idx="138">
                  <c:v>1.8749999999999999E-2</c:v>
                </c:pt>
                <c:pt idx="139">
                  <c:v>1.8749999999999999E-2</c:v>
                </c:pt>
                <c:pt idx="140">
                  <c:v>3.7499999999999999E-2</c:v>
                </c:pt>
                <c:pt idx="141">
                  <c:v>3.7499999999999999E-2</c:v>
                </c:pt>
                <c:pt idx="142">
                  <c:v>3.7499999999999999E-2</c:v>
                </c:pt>
                <c:pt idx="143">
                  <c:v>3.7499999999999999E-2</c:v>
                </c:pt>
                <c:pt idx="144">
                  <c:v>3.7499999999999999E-2</c:v>
                </c:pt>
                <c:pt idx="145">
                  <c:v>7.4999999999999997E-2</c:v>
                </c:pt>
                <c:pt idx="146">
                  <c:v>7.4999999999999997E-2</c:v>
                </c:pt>
                <c:pt idx="147">
                  <c:v>7.4999999999999997E-2</c:v>
                </c:pt>
                <c:pt idx="148">
                  <c:v>7.4999999999999997E-2</c:v>
                </c:pt>
                <c:pt idx="149">
                  <c:v>7.4999999999999997E-2</c:v>
                </c:pt>
                <c:pt idx="150">
                  <c:v>0.15</c:v>
                </c:pt>
                <c:pt idx="151">
                  <c:v>0.15</c:v>
                </c:pt>
                <c:pt idx="152">
                  <c:v>0.15</c:v>
                </c:pt>
                <c:pt idx="153">
                  <c:v>0.15</c:v>
                </c:pt>
                <c:pt idx="154">
                  <c:v>0.15</c:v>
                </c:pt>
                <c:pt idx="155">
                  <c:v>0.3</c:v>
                </c:pt>
                <c:pt idx="156">
                  <c:v>0.3</c:v>
                </c:pt>
                <c:pt idx="157">
                  <c:v>0.3</c:v>
                </c:pt>
                <c:pt idx="158">
                  <c:v>0.3</c:v>
                </c:pt>
                <c:pt idx="159">
                  <c:v>0.3</c:v>
                </c:pt>
                <c:pt idx="160">
                  <c:v>1.2500000000000001E-2</c:v>
                </c:pt>
                <c:pt idx="161">
                  <c:v>1.2500000000000001E-2</c:v>
                </c:pt>
                <c:pt idx="162">
                  <c:v>1.2500000000000001E-2</c:v>
                </c:pt>
                <c:pt idx="163">
                  <c:v>1.2500000000000001E-2</c:v>
                </c:pt>
                <c:pt idx="164">
                  <c:v>1.2500000000000001E-2</c:v>
                </c:pt>
                <c:pt idx="165">
                  <c:v>2.5000000000000001E-2</c:v>
                </c:pt>
                <c:pt idx="166">
                  <c:v>2.5000000000000001E-2</c:v>
                </c:pt>
                <c:pt idx="167">
                  <c:v>2.5000000000000001E-2</c:v>
                </c:pt>
                <c:pt idx="168">
                  <c:v>2.5000000000000001E-2</c:v>
                </c:pt>
                <c:pt idx="169">
                  <c:v>2.5000000000000001E-2</c:v>
                </c:pt>
                <c:pt idx="170">
                  <c:v>0.05</c:v>
                </c:pt>
                <c:pt idx="171">
                  <c:v>0.05</c:v>
                </c:pt>
                <c:pt idx="172">
                  <c:v>0.05</c:v>
                </c:pt>
                <c:pt idx="173">
                  <c:v>0.05</c:v>
                </c:pt>
                <c:pt idx="174">
                  <c:v>0.05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</c:numCache>
            </c:numRef>
          </c:xVal>
          <c:yVal>
            <c:numRef>
              <c:f>'CA - continous data model (new)'!$B$25:$B$224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65">
                  <c:v>0.25</c:v>
                </c:pt>
                <c:pt idx="66">
                  <c:v>0.25</c:v>
                </c:pt>
                <c:pt idx="67">
                  <c:v>0.25</c:v>
                </c:pt>
                <c:pt idx="68">
                  <c:v>0.25</c:v>
                </c:pt>
                <c:pt idx="69">
                  <c:v>0.25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110">
                  <c:v>0.1875</c:v>
                </c:pt>
                <c:pt idx="111">
                  <c:v>0.1875</c:v>
                </c:pt>
                <c:pt idx="112">
                  <c:v>0.1875</c:v>
                </c:pt>
                <c:pt idx="113">
                  <c:v>0.1875</c:v>
                </c:pt>
                <c:pt idx="114">
                  <c:v>0.1875</c:v>
                </c:pt>
                <c:pt idx="115">
                  <c:v>0.375</c:v>
                </c:pt>
                <c:pt idx="116">
                  <c:v>0.375</c:v>
                </c:pt>
                <c:pt idx="117">
                  <c:v>0.375</c:v>
                </c:pt>
                <c:pt idx="118">
                  <c:v>0.375</c:v>
                </c:pt>
                <c:pt idx="119">
                  <c:v>0.375</c:v>
                </c:pt>
                <c:pt idx="120">
                  <c:v>0.75</c:v>
                </c:pt>
                <c:pt idx="121">
                  <c:v>0.75</c:v>
                </c:pt>
                <c:pt idx="122">
                  <c:v>0.75</c:v>
                </c:pt>
                <c:pt idx="123">
                  <c:v>0.75</c:v>
                </c:pt>
                <c:pt idx="124">
                  <c:v>0.75</c:v>
                </c:pt>
                <c:pt idx="125">
                  <c:v>1.5</c:v>
                </c:pt>
                <c:pt idx="126">
                  <c:v>1.5</c:v>
                </c:pt>
                <c:pt idx="127">
                  <c:v>1.5</c:v>
                </c:pt>
                <c:pt idx="128">
                  <c:v>1.5</c:v>
                </c:pt>
                <c:pt idx="129">
                  <c:v>1.5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6.25E-2</c:v>
                </c:pt>
                <c:pt idx="136">
                  <c:v>6.25E-2</c:v>
                </c:pt>
                <c:pt idx="137">
                  <c:v>6.25E-2</c:v>
                </c:pt>
                <c:pt idx="138">
                  <c:v>6.25E-2</c:v>
                </c:pt>
                <c:pt idx="139">
                  <c:v>6.25E-2</c:v>
                </c:pt>
                <c:pt idx="140">
                  <c:v>0.125</c:v>
                </c:pt>
                <c:pt idx="141">
                  <c:v>0.125</c:v>
                </c:pt>
                <c:pt idx="142">
                  <c:v>0.125</c:v>
                </c:pt>
                <c:pt idx="143">
                  <c:v>0.125</c:v>
                </c:pt>
                <c:pt idx="144">
                  <c:v>0.125</c:v>
                </c:pt>
                <c:pt idx="145">
                  <c:v>0.25</c:v>
                </c:pt>
                <c:pt idx="146">
                  <c:v>0.25</c:v>
                </c:pt>
                <c:pt idx="147">
                  <c:v>0.25</c:v>
                </c:pt>
                <c:pt idx="148">
                  <c:v>0.25</c:v>
                </c:pt>
                <c:pt idx="149">
                  <c:v>0.25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0.125</c:v>
                </c:pt>
                <c:pt idx="161">
                  <c:v>0.125</c:v>
                </c:pt>
                <c:pt idx="162">
                  <c:v>0.125</c:v>
                </c:pt>
                <c:pt idx="163">
                  <c:v>0.125</c:v>
                </c:pt>
                <c:pt idx="164">
                  <c:v>0.125</c:v>
                </c:pt>
                <c:pt idx="165">
                  <c:v>0.25</c:v>
                </c:pt>
                <c:pt idx="166">
                  <c:v>0.25</c:v>
                </c:pt>
                <c:pt idx="167">
                  <c:v>0.25</c:v>
                </c:pt>
                <c:pt idx="168">
                  <c:v>0.25</c:v>
                </c:pt>
                <c:pt idx="169">
                  <c:v>0.25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E1-40FD-953F-3FE3BD714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48176"/>
        <c:axId val="1"/>
      </c:scatterChart>
      <c:valAx>
        <c:axId val="1552248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46188979165273159"/>
              <c:y val="0.887922025668466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1.7429803458593646E-2"/>
              <c:y val="0.28924732654351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5224817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Synergism/Antagonism</a:t>
            </a:r>
          </a:p>
        </c:rich>
      </c:tx>
      <c:layout>
        <c:manualLayout>
          <c:xMode val="edge"/>
          <c:yMode val="edge"/>
          <c:x val="0.27413199843900032"/>
          <c:y val="2.74608804876663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149865473871225"/>
          <c:y val="0.13730440243833197"/>
          <c:w val="0.66449596421613677"/>
          <c:h val="0.63846547133824372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continous data model (new)'!$C$45:$C$89</c:f>
              <c:numCache>
                <c:formatCode>0.00</c:formatCode>
                <c:ptCount val="45"/>
                <c:pt idx="0">
                  <c:v>861</c:v>
                </c:pt>
                <c:pt idx="1">
                  <c:v>884</c:v>
                </c:pt>
                <c:pt idx="2">
                  <c:v>763</c:v>
                </c:pt>
                <c:pt idx="3">
                  <c:v>822</c:v>
                </c:pt>
                <c:pt idx="4">
                  <c:v>1051</c:v>
                </c:pt>
                <c:pt idx="5">
                  <c:v>937</c:v>
                </c:pt>
                <c:pt idx="6">
                  <c:v>821</c:v>
                </c:pt>
                <c:pt idx="7">
                  <c:v>971</c:v>
                </c:pt>
                <c:pt idx="8">
                  <c:v>861</c:v>
                </c:pt>
                <c:pt idx="9">
                  <c:v>837</c:v>
                </c:pt>
                <c:pt idx="10">
                  <c:v>169</c:v>
                </c:pt>
                <c:pt idx="11">
                  <c:v>73</c:v>
                </c:pt>
                <c:pt idx="12">
                  <c:v>133</c:v>
                </c:pt>
                <c:pt idx="13">
                  <c:v>101</c:v>
                </c:pt>
                <c:pt idx="14">
                  <c:v>324</c:v>
                </c:pt>
                <c:pt idx="15">
                  <c:v>23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xVal>
          <c:yVal>
            <c:numRef>
              <c:f>'CA - continous data model (new)'!$I$45:$I$89</c:f>
              <c:numCache>
                <c:formatCode>0.00</c:formatCode>
                <c:ptCount val="45"/>
                <c:pt idx="0">
                  <c:v>797.32155152052758</c:v>
                </c:pt>
                <c:pt idx="1">
                  <c:v>797.32155152052758</c:v>
                </c:pt>
                <c:pt idx="2">
                  <c:v>797.32155152052758</c:v>
                </c:pt>
                <c:pt idx="3">
                  <c:v>797.32155152052758</c:v>
                </c:pt>
                <c:pt idx="4">
                  <c:v>797.32155152052758</c:v>
                </c:pt>
                <c:pt idx="5">
                  <c:v>764.88668885899142</c:v>
                </c:pt>
                <c:pt idx="6">
                  <c:v>764.88668885899142</c:v>
                </c:pt>
                <c:pt idx="7">
                  <c:v>764.88668885899142</c:v>
                </c:pt>
                <c:pt idx="8">
                  <c:v>764.88668885899142</c:v>
                </c:pt>
                <c:pt idx="9">
                  <c:v>764.88668885899142</c:v>
                </c:pt>
                <c:pt idx="10">
                  <c:v>86.863337048297154</c:v>
                </c:pt>
                <c:pt idx="11">
                  <c:v>86.863337048297154</c:v>
                </c:pt>
                <c:pt idx="12">
                  <c:v>86.863337048297154</c:v>
                </c:pt>
                <c:pt idx="13">
                  <c:v>86.863337048297154</c:v>
                </c:pt>
                <c:pt idx="14">
                  <c:v>86.863337048297154</c:v>
                </c:pt>
                <c:pt idx="15">
                  <c:v>0.50770743637756921</c:v>
                </c:pt>
                <c:pt idx="16">
                  <c:v>0.50770743637756921</c:v>
                </c:pt>
                <c:pt idx="17">
                  <c:v>0.50770743637756921</c:v>
                </c:pt>
                <c:pt idx="18">
                  <c:v>0.50770743637756921</c:v>
                </c:pt>
                <c:pt idx="19">
                  <c:v>0.50770743637756921</c:v>
                </c:pt>
                <c:pt idx="20">
                  <c:v>2.6476408407980268E-3</c:v>
                </c:pt>
                <c:pt idx="21">
                  <c:v>2.6476408407980268E-3</c:v>
                </c:pt>
                <c:pt idx="22">
                  <c:v>2.6476408407980268E-3</c:v>
                </c:pt>
                <c:pt idx="23">
                  <c:v>2.6476408407980268E-3</c:v>
                </c:pt>
                <c:pt idx="24">
                  <c:v>2.6476408407980268E-3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C1-40DF-8EEE-18A5630C7619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continous data model (new)'!$C$90:$C$134</c:f>
              <c:numCache>
                <c:formatCode>0.00</c:formatCode>
                <c:ptCount val="45"/>
                <c:pt idx="0">
                  <c:v>569</c:v>
                </c:pt>
                <c:pt idx="1">
                  <c:v>617</c:v>
                </c:pt>
                <c:pt idx="2">
                  <c:v>655</c:v>
                </c:pt>
                <c:pt idx="3">
                  <c:v>599</c:v>
                </c:pt>
                <c:pt idx="4">
                  <c:v>607</c:v>
                </c:pt>
                <c:pt idx="5">
                  <c:v>708</c:v>
                </c:pt>
                <c:pt idx="6">
                  <c:v>572</c:v>
                </c:pt>
                <c:pt idx="7">
                  <c:v>547</c:v>
                </c:pt>
                <c:pt idx="8">
                  <c:v>641</c:v>
                </c:pt>
                <c:pt idx="9">
                  <c:v>644</c:v>
                </c:pt>
                <c:pt idx="10">
                  <c:v>578</c:v>
                </c:pt>
                <c:pt idx="11">
                  <c:v>550</c:v>
                </c:pt>
                <c:pt idx="12">
                  <c:v>585</c:v>
                </c:pt>
                <c:pt idx="13">
                  <c:v>421</c:v>
                </c:pt>
                <c:pt idx="14">
                  <c:v>632</c:v>
                </c:pt>
                <c:pt idx="15">
                  <c:v>616</c:v>
                </c:pt>
                <c:pt idx="16">
                  <c:v>745</c:v>
                </c:pt>
                <c:pt idx="17">
                  <c:v>611</c:v>
                </c:pt>
                <c:pt idx="18">
                  <c:v>586</c:v>
                </c:pt>
                <c:pt idx="19">
                  <c:v>522</c:v>
                </c:pt>
                <c:pt idx="20">
                  <c:v>549</c:v>
                </c:pt>
                <c:pt idx="21">
                  <c:v>552</c:v>
                </c:pt>
                <c:pt idx="22">
                  <c:v>473</c:v>
                </c:pt>
                <c:pt idx="23">
                  <c:v>350</c:v>
                </c:pt>
                <c:pt idx="24">
                  <c:v>626</c:v>
                </c:pt>
              </c:numCache>
            </c:numRef>
          </c:xVal>
          <c:yVal>
            <c:numRef>
              <c:f>'CA - continous data model (new)'!$I$90:$I$134</c:f>
              <c:numCache>
                <c:formatCode>0.00</c:formatCode>
                <c:ptCount val="45"/>
                <c:pt idx="0">
                  <c:v>718.10942783029395</c:v>
                </c:pt>
                <c:pt idx="1">
                  <c:v>718.10942783029395</c:v>
                </c:pt>
                <c:pt idx="2">
                  <c:v>718.10942783029395</c:v>
                </c:pt>
                <c:pt idx="3">
                  <c:v>718.10942783029395</c:v>
                </c:pt>
                <c:pt idx="4">
                  <c:v>718.10942783029395</c:v>
                </c:pt>
                <c:pt idx="5">
                  <c:v>697.94833214206767</c:v>
                </c:pt>
                <c:pt idx="6">
                  <c:v>697.94833214206767</c:v>
                </c:pt>
                <c:pt idx="7">
                  <c:v>697.94833214206767</c:v>
                </c:pt>
                <c:pt idx="8">
                  <c:v>697.94833214206767</c:v>
                </c:pt>
                <c:pt idx="9">
                  <c:v>697.94833214206767</c:v>
                </c:pt>
                <c:pt idx="10">
                  <c:v>673.55099831365874</c:v>
                </c:pt>
                <c:pt idx="11">
                  <c:v>673.55099831365874</c:v>
                </c:pt>
                <c:pt idx="12">
                  <c:v>673.55099831365874</c:v>
                </c:pt>
                <c:pt idx="13">
                  <c:v>673.55099831365874</c:v>
                </c:pt>
                <c:pt idx="14">
                  <c:v>673.55099831365874</c:v>
                </c:pt>
                <c:pt idx="15">
                  <c:v>644.48531719084872</c:v>
                </c:pt>
                <c:pt idx="16">
                  <c:v>644.48531719084872</c:v>
                </c:pt>
                <c:pt idx="17">
                  <c:v>644.48531719084872</c:v>
                </c:pt>
                <c:pt idx="18">
                  <c:v>644.48531719084872</c:v>
                </c:pt>
                <c:pt idx="19">
                  <c:v>644.48531719084872</c:v>
                </c:pt>
                <c:pt idx="20">
                  <c:v>610.49609006011394</c:v>
                </c:pt>
                <c:pt idx="21">
                  <c:v>610.49609006011394</c:v>
                </c:pt>
                <c:pt idx="22">
                  <c:v>610.49609006011394</c:v>
                </c:pt>
                <c:pt idx="23">
                  <c:v>610.49609006011394</c:v>
                </c:pt>
                <c:pt idx="24">
                  <c:v>610.49609006011394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C1-40DF-8EEE-18A5630C7619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continous data model (new)'!$C$135:$C$224</c:f>
              <c:numCache>
                <c:formatCode>0.00</c:formatCode>
                <c:ptCount val="90"/>
                <c:pt idx="0">
                  <c:v>820</c:v>
                </c:pt>
                <c:pt idx="1">
                  <c:v>843</c:v>
                </c:pt>
                <c:pt idx="2">
                  <c:v>888</c:v>
                </c:pt>
                <c:pt idx="3">
                  <c:v>820</c:v>
                </c:pt>
                <c:pt idx="4">
                  <c:v>811</c:v>
                </c:pt>
                <c:pt idx="5">
                  <c:v>886</c:v>
                </c:pt>
                <c:pt idx="6">
                  <c:v>832</c:v>
                </c:pt>
                <c:pt idx="7">
                  <c:v>762</c:v>
                </c:pt>
                <c:pt idx="8">
                  <c:v>821</c:v>
                </c:pt>
                <c:pt idx="9">
                  <c:v>788</c:v>
                </c:pt>
                <c:pt idx="10">
                  <c:v>749</c:v>
                </c:pt>
                <c:pt idx="11">
                  <c:v>785</c:v>
                </c:pt>
                <c:pt idx="12">
                  <c:v>823</c:v>
                </c:pt>
                <c:pt idx="13">
                  <c:v>717</c:v>
                </c:pt>
                <c:pt idx="14">
                  <c:v>721</c:v>
                </c:pt>
                <c:pt idx="15">
                  <c:v>636</c:v>
                </c:pt>
                <c:pt idx="16">
                  <c:v>951</c:v>
                </c:pt>
                <c:pt idx="17">
                  <c:v>568</c:v>
                </c:pt>
                <c:pt idx="18">
                  <c:v>904</c:v>
                </c:pt>
                <c:pt idx="19">
                  <c:v>907</c:v>
                </c:pt>
                <c:pt idx="20">
                  <c:v>287</c:v>
                </c:pt>
                <c:pt idx="21">
                  <c:v>347</c:v>
                </c:pt>
                <c:pt idx="22">
                  <c:v>387</c:v>
                </c:pt>
                <c:pt idx="23">
                  <c:v>187</c:v>
                </c:pt>
                <c:pt idx="24">
                  <c:v>187</c:v>
                </c:pt>
                <c:pt idx="25">
                  <c:v>789</c:v>
                </c:pt>
                <c:pt idx="26">
                  <c:v>765</c:v>
                </c:pt>
                <c:pt idx="27">
                  <c:v>559</c:v>
                </c:pt>
                <c:pt idx="28">
                  <c:v>801</c:v>
                </c:pt>
                <c:pt idx="29">
                  <c:v>700</c:v>
                </c:pt>
                <c:pt idx="30">
                  <c:v>739</c:v>
                </c:pt>
                <c:pt idx="31">
                  <c:v>669</c:v>
                </c:pt>
                <c:pt idx="32">
                  <c:v>732</c:v>
                </c:pt>
                <c:pt idx="33">
                  <c:v>774</c:v>
                </c:pt>
                <c:pt idx="34">
                  <c:v>665</c:v>
                </c:pt>
                <c:pt idx="35">
                  <c:v>483</c:v>
                </c:pt>
                <c:pt idx="36">
                  <c:v>434</c:v>
                </c:pt>
                <c:pt idx="37">
                  <c:v>337</c:v>
                </c:pt>
                <c:pt idx="38">
                  <c:v>360</c:v>
                </c:pt>
                <c:pt idx="39">
                  <c:v>357</c:v>
                </c:pt>
                <c:pt idx="40">
                  <c:v>4</c:v>
                </c:pt>
                <c:pt idx="41">
                  <c:v>85</c:v>
                </c:pt>
                <c:pt idx="42">
                  <c:v>3</c:v>
                </c:pt>
                <c:pt idx="43">
                  <c:v>22</c:v>
                </c:pt>
                <c:pt idx="44">
                  <c:v>55</c:v>
                </c:pt>
                <c:pt idx="45">
                  <c:v>0</c:v>
                </c:pt>
                <c:pt idx="46">
                  <c:v>0</c:v>
                </c:pt>
                <c:pt idx="47">
                  <c:v>65</c:v>
                </c:pt>
                <c:pt idx="48">
                  <c:v>0</c:v>
                </c:pt>
                <c:pt idx="49">
                  <c:v>0</c:v>
                </c:pt>
                <c:pt idx="50">
                  <c:v>749</c:v>
                </c:pt>
                <c:pt idx="51">
                  <c:v>703</c:v>
                </c:pt>
                <c:pt idx="52">
                  <c:v>699</c:v>
                </c:pt>
                <c:pt idx="53">
                  <c:v>830</c:v>
                </c:pt>
                <c:pt idx="54">
                  <c:v>662</c:v>
                </c:pt>
                <c:pt idx="55">
                  <c:v>710</c:v>
                </c:pt>
                <c:pt idx="56">
                  <c:v>668</c:v>
                </c:pt>
                <c:pt idx="57">
                  <c:v>593</c:v>
                </c:pt>
                <c:pt idx="58">
                  <c:v>732</c:v>
                </c:pt>
                <c:pt idx="59">
                  <c:v>830</c:v>
                </c:pt>
                <c:pt idx="60">
                  <c:v>690</c:v>
                </c:pt>
                <c:pt idx="61">
                  <c:v>610</c:v>
                </c:pt>
                <c:pt idx="62">
                  <c:v>699</c:v>
                </c:pt>
                <c:pt idx="63">
                  <c:v>670</c:v>
                </c:pt>
                <c:pt idx="64">
                  <c:v>561</c:v>
                </c:pt>
                <c:pt idx="65">
                  <c:v>183</c:v>
                </c:pt>
                <c:pt idx="66">
                  <c:v>100</c:v>
                </c:pt>
                <c:pt idx="67">
                  <c:v>198</c:v>
                </c:pt>
                <c:pt idx="68">
                  <c:v>208</c:v>
                </c:pt>
                <c:pt idx="69">
                  <c:v>65</c:v>
                </c:pt>
                <c:pt idx="70">
                  <c:v>4</c:v>
                </c:pt>
                <c:pt idx="71">
                  <c:v>4</c:v>
                </c:pt>
                <c:pt idx="72">
                  <c:v>8</c:v>
                </c:pt>
                <c:pt idx="73">
                  <c:v>3</c:v>
                </c:pt>
                <c:pt idx="74">
                  <c:v>5</c:v>
                </c:pt>
              </c:numCache>
            </c:numRef>
          </c:xVal>
          <c:yVal>
            <c:numRef>
              <c:f>'CA - continous data model (new)'!$I$135:$I$224</c:f>
              <c:numCache>
                <c:formatCode>0.00</c:formatCode>
                <c:ptCount val="90"/>
                <c:pt idx="0">
                  <c:v>728.24801505780124</c:v>
                </c:pt>
                <c:pt idx="1">
                  <c:v>728.24801505780124</c:v>
                </c:pt>
                <c:pt idx="2">
                  <c:v>728.24801505780124</c:v>
                </c:pt>
                <c:pt idx="3">
                  <c:v>728.24801505780124</c:v>
                </c:pt>
                <c:pt idx="4">
                  <c:v>728.24801505780124</c:v>
                </c:pt>
                <c:pt idx="5">
                  <c:v>707.55552791316177</c:v>
                </c:pt>
                <c:pt idx="6">
                  <c:v>707.55552791316177</c:v>
                </c:pt>
                <c:pt idx="7">
                  <c:v>707.55552791316177</c:v>
                </c:pt>
                <c:pt idx="8">
                  <c:v>707.55552791316177</c:v>
                </c:pt>
                <c:pt idx="9">
                  <c:v>707.55552791316177</c:v>
                </c:pt>
                <c:pt idx="10">
                  <c:v>677.31533877568813</c:v>
                </c:pt>
                <c:pt idx="11">
                  <c:v>677.31533877568813</c:v>
                </c:pt>
                <c:pt idx="12">
                  <c:v>677.31533877568813</c:v>
                </c:pt>
                <c:pt idx="13">
                  <c:v>677.31533877568813</c:v>
                </c:pt>
                <c:pt idx="14">
                  <c:v>677.31533877568813</c:v>
                </c:pt>
                <c:pt idx="15">
                  <c:v>621.40365389601266</c:v>
                </c:pt>
                <c:pt idx="16">
                  <c:v>621.40365389601266</c:v>
                </c:pt>
                <c:pt idx="17">
                  <c:v>621.40365389601266</c:v>
                </c:pt>
                <c:pt idx="18">
                  <c:v>621.40365389601266</c:v>
                </c:pt>
                <c:pt idx="19">
                  <c:v>621.40365389601266</c:v>
                </c:pt>
                <c:pt idx="20">
                  <c:v>300.61809909385249</c:v>
                </c:pt>
                <c:pt idx="21">
                  <c:v>300.61809909385249</c:v>
                </c:pt>
                <c:pt idx="22">
                  <c:v>300.61809909385249</c:v>
                </c:pt>
                <c:pt idx="23">
                  <c:v>300.61809909385249</c:v>
                </c:pt>
                <c:pt idx="24">
                  <c:v>300.61809909385249</c:v>
                </c:pt>
                <c:pt idx="25">
                  <c:v>740.75552115766641</c:v>
                </c:pt>
                <c:pt idx="26">
                  <c:v>740.75552115766641</c:v>
                </c:pt>
                <c:pt idx="27">
                  <c:v>740.75552115766641</c:v>
                </c:pt>
                <c:pt idx="28">
                  <c:v>740.75552115766641</c:v>
                </c:pt>
                <c:pt idx="29">
                  <c:v>740.75552115766641</c:v>
                </c:pt>
                <c:pt idx="30">
                  <c:v>710.09125225498792</c:v>
                </c:pt>
                <c:pt idx="31">
                  <c:v>710.09125225498792</c:v>
                </c:pt>
                <c:pt idx="32">
                  <c:v>710.09125225498792</c:v>
                </c:pt>
                <c:pt idx="33">
                  <c:v>710.09125225498792</c:v>
                </c:pt>
                <c:pt idx="34">
                  <c:v>710.09125225498792</c:v>
                </c:pt>
                <c:pt idx="35">
                  <c:v>445.42434339542979</c:v>
                </c:pt>
                <c:pt idx="36">
                  <c:v>445.42434339542979</c:v>
                </c:pt>
                <c:pt idx="37">
                  <c:v>445.42434339542979</c:v>
                </c:pt>
                <c:pt idx="38">
                  <c:v>445.42434339542979</c:v>
                </c:pt>
                <c:pt idx="39">
                  <c:v>445.42434339542979</c:v>
                </c:pt>
                <c:pt idx="40">
                  <c:v>5.4093631327403102</c:v>
                </c:pt>
                <c:pt idx="41">
                  <c:v>5.4093631327403102</c:v>
                </c:pt>
                <c:pt idx="42">
                  <c:v>5.4093631327403102</c:v>
                </c:pt>
                <c:pt idx="43">
                  <c:v>5.4093631327403102</c:v>
                </c:pt>
                <c:pt idx="44">
                  <c:v>5.4093631327403102</c:v>
                </c:pt>
                <c:pt idx="45">
                  <c:v>2.8382911020661823E-2</c:v>
                </c:pt>
                <c:pt idx="46">
                  <c:v>2.8382911020661823E-2</c:v>
                </c:pt>
                <c:pt idx="47">
                  <c:v>2.8382911020661823E-2</c:v>
                </c:pt>
                <c:pt idx="48">
                  <c:v>2.8382911020661823E-2</c:v>
                </c:pt>
                <c:pt idx="49">
                  <c:v>2.8382911020661823E-2</c:v>
                </c:pt>
                <c:pt idx="50">
                  <c:v>731.03442729949734</c:v>
                </c:pt>
                <c:pt idx="51">
                  <c:v>731.03442729949734</c:v>
                </c:pt>
                <c:pt idx="52">
                  <c:v>731.03442729949734</c:v>
                </c:pt>
                <c:pt idx="53">
                  <c:v>731.03442729949734</c:v>
                </c:pt>
                <c:pt idx="54">
                  <c:v>731.03442729949734</c:v>
                </c:pt>
                <c:pt idx="55">
                  <c:v>705.85182795516312</c:v>
                </c:pt>
                <c:pt idx="56">
                  <c:v>705.85182795516312</c:v>
                </c:pt>
                <c:pt idx="57">
                  <c:v>705.85182795516312</c:v>
                </c:pt>
                <c:pt idx="58">
                  <c:v>705.85182795516312</c:v>
                </c:pt>
                <c:pt idx="59">
                  <c:v>705.85182795516312</c:v>
                </c:pt>
                <c:pt idx="60">
                  <c:v>648.9559286605122</c:v>
                </c:pt>
                <c:pt idx="61">
                  <c:v>648.9559286605122</c:v>
                </c:pt>
                <c:pt idx="62">
                  <c:v>648.9559286605122</c:v>
                </c:pt>
                <c:pt idx="63">
                  <c:v>648.9559286605122</c:v>
                </c:pt>
                <c:pt idx="64">
                  <c:v>648.9559286605122</c:v>
                </c:pt>
                <c:pt idx="65">
                  <c:v>141.07053439059192</c:v>
                </c:pt>
                <c:pt idx="66">
                  <c:v>141.07053439059192</c:v>
                </c:pt>
                <c:pt idx="67">
                  <c:v>141.07053439059192</c:v>
                </c:pt>
                <c:pt idx="68">
                  <c:v>141.07053439059192</c:v>
                </c:pt>
                <c:pt idx="69">
                  <c:v>141.07053439059192</c:v>
                </c:pt>
                <c:pt idx="70">
                  <c:v>0.89315973488972222</c:v>
                </c:pt>
                <c:pt idx="71">
                  <c:v>0.89315973488972222</c:v>
                </c:pt>
                <c:pt idx="72">
                  <c:v>0.89315973488972222</c:v>
                </c:pt>
                <c:pt idx="73">
                  <c:v>0.89315973488972222</c:v>
                </c:pt>
                <c:pt idx="74">
                  <c:v>0.89315973488972222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3C1-40DF-8EEE-18A5630C7619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continous data model (new)'!$S$2:$S$3</c:f>
              <c:numCache>
                <c:formatCode>0.00</c:formatCode>
                <c:ptCount val="2"/>
                <c:pt idx="0">
                  <c:v>0</c:v>
                </c:pt>
                <c:pt idx="1">
                  <c:v>1051</c:v>
                </c:pt>
              </c:numCache>
            </c:numRef>
          </c:xVal>
          <c:yVal>
            <c:numRef>
              <c:f>'CA - continous data model (new)'!$S$2:$S$3</c:f>
              <c:numCache>
                <c:formatCode>0.00</c:formatCode>
                <c:ptCount val="2"/>
                <c:pt idx="0">
                  <c:v>0</c:v>
                </c:pt>
                <c:pt idx="1">
                  <c:v>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3C1-40DF-8EEE-18A5630C7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50160"/>
        <c:axId val="1"/>
      </c:scatterChart>
      <c:valAx>
        <c:axId val="1552250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0001676515273652"/>
              <c:y val="0.87874817560532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4.8247231725264052E-2"/>
              <c:y val="0.386740733534635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5225016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0265849142939294"/>
          <c:y val="0.58354371036291097"/>
          <c:w val="0.18202364696349621"/>
          <c:h val="0.1739189097552205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SA to the complete data set</a:t>
            </a:r>
          </a:p>
        </c:rich>
      </c:tx>
      <c:layout>
        <c:manualLayout>
          <c:xMode val="edge"/>
          <c:yMode val="edge"/>
          <c:x val="0.11864784973855236"/>
          <c:y val="3.644773610094981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729569947710472"/>
          <c:y val="0.25513415270664874"/>
          <c:w val="0.68434384759915023"/>
          <c:h val="0.51938023943853495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continous data model (new)'!$I$227:$I$316</c:f>
              <c:numCache>
                <c:formatCode>General</c:formatCode>
                <c:ptCount val="90"/>
                <c:pt idx="0">
                  <c:v>8.433419174690511E-2</c:v>
                </c:pt>
                <c:pt idx="1">
                  <c:v>8.433419174690511E-2</c:v>
                </c:pt>
                <c:pt idx="2">
                  <c:v>8.433419174690511E-2</c:v>
                </c:pt>
                <c:pt idx="3">
                  <c:v>8.433419174690511E-2</c:v>
                </c:pt>
                <c:pt idx="4">
                  <c:v>8.433419174690511E-2</c:v>
                </c:pt>
                <c:pt idx="5">
                  <c:v>0.16866838349381022</c:v>
                </c:pt>
                <c:pt idx="6">
                  <c:v>0.16866838349381022</c:v>
                </c:pt>
                <c:pt idx="7">
                  <c:v>0.16866838349381022</c:v>
                </c:pt>
                <c:pt idx="8">
                  <c:v>0.16866838349381022</c:v>
                </c:pt>
                <c:pt idx="9">
                  <c:v>0.16866838349381022</c:v>
                </c:pt>
                <c:pt idx="10">
                  <c:v>0.33733676698762044</c:v>
                </c:pt>
                <c:pt idx="11">
                  <c:v>0.33733676698762044</c:v>
                </c:pt>
                <c:pt idx="12">
                  <c:v>0.33733676698762044</c:v>
                </c:pt>
                <c:pt idx="13">
                  <c:v>0.33733676698762044</c:v>
                </c:pt>
                <c:pt idx="14">
                  <c:v>0.33733676698762044</c:v>
                </c:pt>
                <c:pt idx="15">
                  <c:v>0.67467353397524088</c:v>
                </c:pt>
                <c:pt idx="16">
                  <c:v>0.67467353397524088</c:v>
                </c:pt>
                <c:pt idx="17">
                  <c:v>0.67467353397524088</c:v>
                </c:pt>
                <c:pt idx="18">
                  <c:v>0.67467353397524088</c:v>
                </c:pt>
                <c:pt idx="19">
                  <c:v>0.67467353397524088</c:v>
                </c:pt>
                <c:pt idx="20">
                  <c:v>1.3493470679504818</c:v>
                </c:pt>
                <c:pt idx="21">
                  <c:v>1.3493470679504818</c:v>
                </c:pt>
                <c:pt idx="22">
                  <c:v>1.3493470679504818</c:v>
                </c:pt>
                <c:pt idx="23">
                  <c:v>1.3493470679504818</c:v>
                </c:pt>
                <c:pt idx="24">
                  <c:v>1.3493470679504818</c:v>
                </c:pt>
                <c:pt idx="25">
                  <c:v>0.24800257524071526</c:v>
                </c:pt>
                <c:pt idx="26">
                  <c:v>0.24800257524071526</c:v>
                </c:pt>
                <c:pt idx="27">
                  <c:v>0.24800257524071526</c:v>
                </c:pt>
                <c:pt idx="28">
                  <c:v>0.24800257524071526</c:v>
                </c:pt>
                <c:pt idx="29">
                  <c:v>0.24800257524071526</c:v>
                </c:pt>
                <c:pt idx="30">
                  <c:v>0.49600515048143051</c:v>
                </c:pt>
                <c:pt idx="31">
                  <c:v>0.49600515048143051</c:v>
                </c:pt>
                <c:pt idx="32">
                  <c:v>0.49600515048143051</c:v>
                </c:pt>
                <c:pt idx="33">
                  <c:v>0.49600515048143051</c:v>
                </c:pt>
                <c:pt idx="34">
                  <c:v>0.49600515048143051</c:v>
                </c:pt>
                <c:pt idx="35">
                  <c:v>0.99201030096286102</c:v>
                </c:pt>
                <c:pt idx="36">
                  <c:v>0.99201030096286102</c:v>
                </c:pt>
                <c:pt idx="37">
                  <c:v>0.99201030096286102</c:v>
                </c:pt>
                <c:pt idx="38">
                  <c:v>0.99201030096286102</c:v>
                </c:pt>
                <c:pt idx="39">
                  <c:v>0.99201030096286102</c:v>
                </c:pt>
                <c:pt idx="40">
                  <c:v>1.984020601925722</c:v>
                </c:pt>
                <c:pt idx="41">
                  <c:v>1.984020601925722</c:v>
                </c:pt>
                <c:pt idx="42">
                  <c:v>1.984020601925722</c:v>
                </c:pt>
                <c:pt idx="43">
                  <c:v>1.984020601925722</c:v>
                </c:pt>
                <c:pt idx="44">
                  <c:v>1.984020601925722</c:v>
                </c:pt>
                <c:pt idx="45">
                  <c:v>3.9680412038514441</c:v>
                </c:pt>
                <c:pt idx="46">
                  <c:v>3.9680412038514441</c:v>
                </c:pt>
                <c:pt idx="47">
                  <c:v>3.9680412038514441</c:v>
                </c:pt>
                <c:pt idx="48">
                  <c:v>3.9680412038514441</c:v>
                </c:pt>
                <c:pt idx="49">
                  <c:v>3.9680412038514441</c:v>
                </c:pt>
                <c:pt idx="50">
                  <c:v>0.16616838349381022</c:v>
                </c:pt>
                <c:pt idx="51">
                  <c:v>0.16616838349381022</c:v>
                </c:pt>
                <c:pt idx="52">
                  <c:v>0.16616838349381022</c:v>
                </c:pt>
                <c:pt idx="53">
                  <c:v>0.16616838349381022</c:v>
                </c:pt>
                <c:pt idx="54">
                  <c:v>0.16616838349381022</c:v>
                </c:pt>
                <c:pt idx="55">
                  <c:v>0.33233676698762044</c:v>
                </c:pt>
                <c:pt idx="56">
                  <c:v>0.33233676698762044</c:v>
                </c:pt>
                <c:pt idx="57">
                  <c:v>0.33233676698762044</c:v>
                </c:pt>
                <c:pt idx="58">
                  <c:v>0.33233676698762044</c:v>
                </c:pt>
                <c:pt idx="59">
                  <c:v>0.33233676698762044</c:v>
                </c:pt>
                <c:pt idx="60">
                  <c:v>0.66467353397524087</c:v>
                </c:pt>
                <c:pt idx="61">
                  <c:v>0.66467353397524087</c:v>
                </c:pt>
                <c:pt idx="62">
                  <c:v>0.66467353397524087</c:v>
                </c:pt>
                <c:pt idx="63">
                  <c:v>0.66467353397524087</c:v>
                </c:pt>
                <c:pt idx="64">
                  <c:v>0.66467353397524087</c:v>
                </c:pt>
                <c:pt idx="65">
                  <c:v>1.3293470679504817</c:v>
                </c:pt>
                <c:pt idx="66">
                  <c:v>1.3293470679504817</c:v>
                </c:pt>
                <c:pt idx="67">
                  <c:v>1.3293470679504817</c:v>
                </c:pt>
                <c:pt idx="68">
                  <c:v>1.3293470679504817</c:v>
                </c:pt>
                <c:pt idx="69">
                  <c:v>1.3293470679504817</c:v>
                </c:pt>
                <c:pt idx="70">
                  <c:v>2.6586941359009635</c:v>
                </c:pt>
                <c:pt idx="71">
                  <c:v>2.6586941359009635</c:v>
                </c:pt>
                <c:pt idx="72">
                  <c:v>2.6586941359009635</c:v>
                </c:pt>
                <c:pt idx="73">
                  <c:v>2.6586941359009635</c:v>
                </c:pt>
                <c:pt idx="74">
                  <c:v>2.6586941359009635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continous data model (new)'!$J$227:$J$316</c:f>
              <c:numCache>
                <c:formatCode>0.00</c:formatCode>
                <c:ptCount val="90"/>
                <c:pt idx="0">
                  <c:v>91.75198494219876</c:v>
                </c:pt>
                <c:pt idx="1">
                  <c:v>114.75198494219876</c:v>
                </c:pt>
                <c:pt idx="2">
                  <c:v>159.75198494219876</c:v>
                </c:pt>
                <c:pt idx="3">
                  <c:v>91.75198494219876</c:v>
                </c:pt>
                <c:pt idx="4">
                  <c:v>82.75198494219876</c:v>
                </c:pt>
                <c:pt idx="5">
                  <c:v>178.44447208683823</c:v>
                </c:pt>
                <c:pt idx="6">
                  <c:v>124.44447208683823</c:v>
                </c:pt>
                <c:pt idx="7">
                  <c:v>54.444472086838232</c:v>
                </c:pt>
                <c:pt idx="8">
                  <c:v>113.44447208683823</c:v>
                </c:pt>
                <c:pt idx="9">
                  <c:v>80.444472086838232</c:v>
                </c:pt>
                <c:pt idx="10">
                  <c:v>71.684661224311867</c:v>
                </c:pt>
                <c:pt idx="11">
                  <c:v>107.68466122431187</c:v>
                </c:pt>
                <c:pt idx="12">
                  <c:v>145.68466122431187</c:v>
                </c:pt>
                <c:pt idx="13">
                  <c:v>39.684661224311867</c:v>
                </c:pt>
                <c:pt idx="14">
                  <c:v>43.684661224311867</c:v>
                </c:pt>
                <c:pt idx="15">
                  <c:v>14.596346103987344</c:v>
                </c:pt>
                <c:pt idx="16">
                  <c:v>329.59634610398734</c:v>
                </c:pt>
                <c:pt idx="17">
                  <c:v>-53.403653896012656</c:v>
                </c:pt>
                <c:pt idx="18">
                  <c:v>282.59634610398734</c:v>
                </c:pt>
                <c:pt idx="19">
                  <c:v>285.59634610398734</c:v>
                </c:pt>
                <c:pt idx="20">
                  <c:v>-13.618099093852493</c:v>
                </c:pt>
                <c:pt idx="21">
                  <c:v>46.381900906147507</c:v>
                </c:pt>
                <c:pt idx="22">
                  <c:v>86.381900906147507</c:v>
                </c:pt>
                <c:pt idx="23">
                  <c:v>-113.61809909385249</c:v>
                </c:pt>
                <c:pt idx="24">
                  <c:v>-113.61809909385249</c:v>
                </c:pt>
                <c:pt idx="25">
                  <c:v>48.244478842333592</c:v>
                </c:pt>
                <c:pt idx="26">
                  <c:v>24.244478842333592</c:v>
                </c:pt>
                <c:pt idx="27">
                  <c:v>-181.75552115766641</c:v>
                </c:pt>
                <c:pt idx="28">
                  <c:v>60.244478842333592</c:v>
                </c:pt>
                <c:pt idx="29">
                  <c:v>-40.755521157666408</c:v>
                </c:pt>
                <c:pt idx="30">
                  <c:v>28.908747745012079</c:v>
                </c:pt>
                <c:pt idx="31">
                  <c:v>-41.091252254987921</c:v>
                </c:pt>
                <c:pt idx="32">
                  <c:v>21.908747745012079</c:v>
                </c:pt>
                <c:pt idx="33">
                  <c:v>63.908747745012079</c:v>
                </c:pt>
                <c:pt idx="34">
                  <c:v>-45.091252254987921</c:v>
                </c:pt>
                <c:pt idx="35">
                  <c:v>37.575656604570213</c:v>
                </c:pt>
                <c:pt idx="36">
                  <c:v>-11.424343395429787</c:v>
                </c:pt>
                <c:pt idx="37">
                  <c:v>-108.42434339542979</c:v>
                </c:pt>
                <c:pt idx="38">
                  <c:v>-85.424343395429787</c:v>
                </c:pt>
                <c:pt idx="39">
                  <c:v>-88.424343395429787</c:v>
                </c:pt>
                <c:pt idx="40">
                  <c:v>-1.4093631327403102</c:v>
                </c:pt>
                <c:pt idx="41">
                  <c:v>79.59063686725969</c:v>
                </c:pt>
                <c:pt idx="42">
                  <c:v>-2.4093631327403102</c:v>
                </c:pt>
                <c:pt idx="43">
                  <c:v>16.59063686725969</c:v>
                </c:pt>
                <c:pt idx="44">
                  <c:v>49.59063686725969</c:v>
                </c:pt>
                <c:pt idx="45">
                  <c:v>-2.8382911020661823E-2</c:v>
                </c:pt>
                <c:pt idx="46">
                  <c:v>-2.8382911020661823E-2</c:v>
                </c:pt>
                <c:pt idx="47">
                  <c:v>64.971617088979343</c:v>
                </c:pt>
                <c:pt idx="48">
                  <c:v>-2.8382911020661823E-2</c:v>
                </c:pt>
                <c:pt idx="49">
                  <c:v>-2.8382911020661823E-2</c:v>
                </c:pt>
                <c:pt idx="50">
                  <c:v>17.965572700502662</c:v>
                </c:pt>
                <c:pt idx="51">
                  <c:v>-28.034427299497338</c:v>
                </c:pt>
                <c:pt idx="52">
                  <c:v>-32.034427299497338</c:v>
                </c:pt>
                <c:pt idx="53">
                  <c:v>98.965572700502662</c:v>
                </c:pt>
                <c:pt idx="54">
                  <c:v>-69.034427299497338</c:v>
                </c:pt>
                <c:pt idx="55">
                  <c:v>4.1481720448368833</c:v>
                </c:pt>
                <c:pt idx="56">
                  <c:v>-37.851827955163117</c:v>
                </c:pt>
                <c:pt idx="57">
                  <c:v>-112.85182795516312</c:v>
                </c:pt>
                <c:pt idx="58">
                  <c:v>26.148172044836883</c:v>
                </c:pt>
                <c:pt idx="59">
                  <c:v>124.14817204483688</c:v>
                </c:pt>
                <c:pt idx="60">
                  <c:v>41.0440713394878</c:v>
                </c:pt>
                <c:pt idx="61">
                  <c:v>-38.9559286605122</c:v>
                </c:pt>
                <c:pt idx="62">
                  <c:v>50.0440713394878</c:v>
                </c:pt>
                <c:pt idx="63">
                  <c:v>21.0440713394878</c:v>
                </c:pt>
                <c:pt idx="64">
                  <c:v>-87.9559286605122</c:v>
                </c:pt>
                <c:pt idx="65">
                  <c:v>41.929465609408084</c:v>
                </c:pt>
                <c:pt idx="66">
                  <c:v>-41.070534390591916</c:v>
                </c:pt>
                <c:pt idx="67">
                  <c:v>56.929465609408084</c:v>
                </c:pt>
                <c:pt idx="68">
                  <c:v>66.929465609408084</c:v>
                </c:pt>
                <c:pt idx="69">
                  <c:v>-76.070534390591916</c:v>
                </c:pt>
                <c:pt idx="70">
                  <c:v>3.1068402651102778</c:v>
                </c:pt>
                <c:pt idx="71">
                  <c:v>3.1068402651102778</c:v>
                </c:pt>
                <c:pt idx="72">
                  <c:v>7.1068402651102778</c:v>
                </c:pt>
                <c:pt idx="73">
                  <c:v>2.1068402651102778</c:v>
                </c:pt>
                <c:pt idx="74">
                  <c:v>4.1068402651102778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91-4E01-ABEE-D82E1940A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52144"/>
        <c:axId val="1"/>
      </c:scatterChart>
      <c:valAx>
        <c:axId val="1552252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47459139895420943"/>
              <c:y val="0.877023649929104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4.6611655254431283E-2"/>
              <c:y val="0.4123150146419948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5225214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Ratio Dependent Deviation
</a:t>
            </a:r>
          </a:p>
        </c:rich>
      </c:tx>
      <c:layout>
        <c:manualLayout>
          <c:xMode val="edge"/>
          <c:yMode val="edge"/>
          <c:x val="0.159046956559667"/>
          <c:y val="2.8847104024865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094489582636579"/>
          <c:y val="0.15144729613054442"/>
          <c:w val="0.65143890426493745"/>
          <c:h val="0.59376955784515029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continous data model (new)'!$C$45:$C$89</c:f>
              <c:numCache>
                <c:formatCode>0.00</c:formatCode>
                <c:ptCount val="45"/>
                <c:pt idx="0">
                  <c:v>861</c:v>
                </c:pt>
                <c:pt idx="1">
                  <c:v>884</c:v>
                </c:pt>
                <c:pt idx="2">
                  <c:v>763</c:v>
                </c:pt>
                <c:pt idx="3">
                  <c:v>822</c:v>
                </c:pt>
                <c:pt idx="4">
                  <c:v>1051</c:v>
                </c:pt>
                <c:pt idx="5">
                  <c:v>937</c:v>
                </c:pt>
                <c:pt idx="6">
                  <c:v>821</c:v>
                </c:pt>
                <c:pt idx="7">
                  <c:v>971</c:v>
                </c:pt>
                <c:pt idx="8">
                  <c:v>861</c:v>
                </c:pt>
                <c:pt idx="9">
                  <c:v>837</c:v>
                </c:pt>
                <c:pt idx="10">
                  <c:v>169</c:v>
                </c:pt>
                <c:pt idx="11">
                  <c:v>73</c:v>
                </c:pt>
                <c:pt idx="12">
                  <c:v>133</c:v>
                </c:pt>
                <c:pt idx="13">
                  <c:v>101</c:v>
                </c:pt>
                <c:pt idx="14">
                  <c:v>324</c:v>
                </c:pt>
                <c:pt idx="15">
                  <c:v>23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xVal>
          <c:yVal>
            <c:numRef>
              <c:f>'CA - continous data model (new)'!$L$45:$L$89</c:f>
              <c:numCache>
                <c:formatCode>0.00</c:formatCode>
                <c:ptCount val="45"/>
                <c:pt idx="0">
                  <c:v>796.89220273162914</c:v>
                </c:pt>
                <c:pt idx="1">
                  <c:v>796.89220273162914</c:v>
                </c:pt>
                <c:pt idx="2">
                  <c:v>796.89220273162914</c:v>
                </c:pt>
                <c:pt idx="3">
                  <c:v>796.89220273162914</c:v>
                </c:pt>
                <c:pt idx="4">
                  <c:v>796.89220273162914</c:v>
                </c:pt>
                <c:pt idx="5">
                  <c:v>767.73069416409248</c:v>
                </c:pt>
                <c:pt idx="6">
                  <c:v>767.73069416409248</c:v>
                </c:pt>
                <c:pt idx="7">
                  <c:v>767.73069416409248</c:v>
                </c:pt>
                <c:pt idx="8">
                  <c:v>767.73069416409248</c:v>
                </c:pt>
                <c:pt idx="9">
                  <c:v>767.73069416409248</c:v>
                </c:pt>
                <c:pt idx="10">
                  <c:v>121.04232152628943</c:v>
                </c:pt>
                <c:pt idx="11">
                  <c:v>121.04232152628943</c:v>
                </c:pt>
                <c:pt idx="12">
                  <c:v>121.04232152628943</c:v>
                </c:pt>
                <c:pt idx="13">
                  <c:v>121.04232152628943</c:v>
                </c:pt>
                <c:pt idx="14">
                  <c:v>121.04232152628943</c:v>
                </c:pt>
                <c:pt idx="15">
                  <c:v>0.97630732357624417</c:v>
                </c:pt>
                <c:pt idx="16">
                  <c:v>0.97630732357624417</c:v>
                </c:pt>
                <c:pt idx="17">
                  <c:v>0.97630732357624417</c:v>
                </c:pt>
                <c:pt idx="18">
                  <c:v>0.97630732357624417</c:v>
                </c:pt>
                <c:pt idx="19">
                  <c:v>0.97630732357624417</c:v>
                </c:pt>
                <c:pt idx="20">
                  <c:v>6.6952648367319539E-3</c:v>
                </c:pt>
                <c:pt idx="21">
                  <c:v>6.6952648367319539E-3</c:v>
                </c:pt>
                <c:pt idx="22">
                  <c:v>6.6952648367319539E-3</c:v>
                </c:pt>
                <c:pt idx="23">
                  <c:v>6.6952648367319539E-3</c:v>
                </c:pt>
                <c:pt idx="24">
                  <c:v>6.6952648367319539E-3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12-46B4-A889-ED7555C26F7C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continous data model (new)'!$C$90:$C$134</c:f>
              <c:numCache>
                <c:formatCode>0.00</c:formatCode>
                <c:ptCount val="45"/>
                <c:pt idx="0">
                  <c:v>569</c:v>
                </c:pt>
                <c:pt idx="1">
                  <c:v>617</c:v>
                </c:pt>
                <c:pt idx="2">
                  <c:v>655</c:v>
                </c:pt>
                <c:pt idx="3">
                  <c:v>599</c:v>
                </c:pt>
                <c:pt idx="4">
                  <c:v>607</c:v>
                </c:pt>
                <c:pt idx="5">
                  <c:v>708</c:v>
                </c:pt>
                <c:pt idx="6">
                  <c:v>572</c:v>
                </c:pt>
                <c:pt idx="7">
                  <c:v>547</c:v>
                </c:pt>
                <c:pt idx="8">
                  <c:v>641</c:v>
                </c:pt>
                <c:pt idx="9">
                  <c:v>644</c:v>
                </c:pt>
                <c:pt idx="10">
                  <c:v>578</c:v>
                </c:pt>
                <c:pt idx="11">
                  <c:v>550</c:v>
                </c:pt>
                <c:pt idx="12">
                  <c:v>585</c:v>
                </c:pt>
                <c:pt idx="13">
                  <c:v>421</c:v>
                </c:pt>
                <c:pt idx="14">
                  <c:v>632</c:v>
                </c:pt>
                <c:pt idx="15">
                  <c:v>616</c:v>
                </c:pt>
                <c:pt idx="16">
                  <c:v>745</c:v>
                </c:pt>
                <c:pt idx="17">
                  <c:v>611</c:v>
                </c:pt>
                <c:pt idx="18">
                  <c:v>586</c:v>
                </c:pt>
                <c:pt idx="19">
                  <c:v>522</c:v>
                </c:pt>
                <c:pt idx="20">
                  <c:v>549</c:v>
                </c:pt>
                <c:pt idx="21">
                  <c:v>552</c:v>
                </c:pt>
                <c:pt idx="22">
                  <c:v>473</c:v>
                </c:pt>
                <c:pt idx="23">
                  <c:v>350</c:v>
                </c:pt>
                <c:pt idx="24">
                  <c:v>626</c:v>
                </c:pt>
              </c:numCache>
            </c:numRef>
          </c:xVal>
          <c:yVal>
            <c:numRef>
              <c:f>'CA - continous data model (new)'!$L$90:$L$134</c:f>
              <c:numCache>
                <c:formatCode>0.00</c:formatCode>
                <c:ptCount val="45"/>
                <c:pt idx="0">
                  <c:v>719.74709218789496</c:v>
                </c:pt>
                <c:pt idx="1">
                  <c:v>719.74709218789496</c:v>
                </c:pt>
                <c:pt idx="2">
                  <c:v>719.74709218789496</c:v>
                </c:pt>
                <c:pt idx="3">
                  <c:v>719.74709218789496</c:v>
                </c:pt>
                <c:pt idx="4">
                  <c:v>719.74709218789496</c:v>
                </c:pt>
                <c:pt idx="5">
                  <c:v>699.75539108006967</c:v>
                </c:pt>
                <c:pt idx="6">
                  <c:v>699.75539108006967</c:v>
                </c:pt>
                <c:pt idx="7">
                  <c:v>699.75539108006967</c:v>
                </c:pt>
                <c:pt idx="8">
                  <c:v>699.75539108006967</c:v>
                </c:pt>
                <c:pt idx="9">
                  <c:v>699.75539108006967</c:v>
                </c:pt>
                <c:pt idx="10">
                  <c:v>675.47007809270247</c:v>
                </c:pt>
                <c:pt idx="11">
                  <c:v>675.47007809270247</c:v>
                </c:pt>
                <c:pt idx="12">
                  <c:v>675.47007809270247</c:v>
                </c:pt>
                <c:pt idx="13">
                  <c:v>675.47007809270247</c:v>
                </c:pt>
                <c:pt idx="14">
                  <c:v>675.47007809270247</c:v>
                </c:pt>
                <c:pt idx="15">
                  <c:v>646.43070814819998</c:v>
                </c:pt>
                <c:pt idx="16">
                  <c:v>646.43070814819998</c:v>
                </c:pt>
                <c:pt idx="17">
                  <c:v>646.43070814819998</c:v>
                </c:pt>
                <c:pt idx="18">
                  <c:v>646.43070814819998</c:v>
                </c:pt>
                <c:pt idx="19">
                  <c:v>646.43070814819998</c:v>
                </c:pt>
                <c:pt idx="20">
                  <c:v>612.35446404883271</c:v>
                </c:pt>
                <c:pt idx="21">
                  <c:v>612.35446404883271</c:v>
                </c:pt>
                <c:pt idx="22">
                  <c:v>612.35446404883271</c:v>
                </c:pt>
                <c:pt idx="23">
                  <c:v>612.35446404883271</c:v>
                </c:pt>
                <c:pt idx="24">
                  <c:v>612.35446404883271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12-46B4-A889-ED7555C26F7C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continous data model (new)'!$C$135:$C$224</c:f>
              <c:numCache>
                <c:formatCode>0.00</c:formatCode>
                <c:ptCount val="90"/>
                <c:pt idx="0">
                  <c:v>820</c:v>
                </c:pt>
                <c:pt idx="1">
                  <c:v>843</c:v>
                </c:pt>
                <c:pt idx="2">
                  <c:v>888</c:v>
                </c:pt>
                <c:pt idx="3">
                  <c:v>820</c:v>
                </c:pt>
                <c:pt idx="4">
                  <c:v>811</c:v>
                </c:pt>
                <c:pt idx="5">
                  <c:v>886</c:v>
                </c:pt>
                <c:pt idx="6">
                  <c:v>832</c:v>
                </c:pt>
                <c:pt idx="7">
                  <c:v>762</c:v>
                </c:pt>
                <c:pt idx="8">
                  <c:v>821</c:v>
                </c:pt>
                <c:pt idx="9">
                  <c:v>788</c:v>
                </c:pt>
                <c:pt idx="10">
                  <c:v>749</c:v>
                </c:pt>
                <c:pt idx="11">
                  <c:v>785</c:v>
                </c:pt>
                <c:pt idx="12">
                  <c:v>823</c:v>
                </c:pt>
                <c:pt idx="13">
                  <c:v>717</c:v>
                </c:pt>
                <c:pt idx="14">
                  <c:v>721</c:v>
                </c:pt>
                <c:pt idx="15">
                  <c:v>636</c:v>
                </c:pt>
                <c:pt idx="16">
                  <c:v>951</c:v>
                </c:pt>
                <c:pt idx="17">
                  <c:v>568</c:v>
                </c:pt>
                <c:pt idx="18">
                  <c:v>904</c:v>
                </c:pt>
                <c:pt idx="19">
                  <c:v>907</c:v>
                </c:pt>
                <c:pt idx="20">
                  <c:v>287</c:v>
                </c:pt>
                <c:pt idx="21">
                  <c:v>347</c:v>
                </c:pt>
                <c:pt idx="22">
                  <c:v>387</c:v>
                </c:pt>
                <c:pt idx="23">
                  <c:v>187</c:v>
                </c:pt>
                <c:pt idx="24">
                  <c:v>187</c:v>
                </c:pt>
                <c:pt idx="25">
                  <c:v>789</c:v>
                </c:pt>
                <c:pt idx="26">
                  <c:v>765</c:v>
                </c:pt>
                <c:pt idx="27">
                  <c:v>559</c:v>
                </c:pt>
                <c:pt idx="28">
                  <c:v>801</c:v>
                </c:pt>
                <c:pt idx="29">
                  <c:v>700</c:v>
                </c:pt>
                <c:pt idx="30">
                  <c:v>739</c:v>
                </c:pt>
                <c:pt idx="31">
                  <c:v>669</c:v>
                </c:pt>
                <c:pt idx="32">
                  <c:v>732</c:v>
                </c:pt>
                <c:pt idx="33">
                  <c:v>774</c:v>
                </c:pt>
                <c:pt idx="34">
                  <c:v>665</c:v>
                </c:pt>
                <c:pt idx="35">
                  <c:v>483</c:v>
                </c:pt>
                <c:pt idx="36">
                  <c:v>434</c:v>
                </c:pt>
                <c:pt idx="37">
                  <c:v>337</c:v>
                </c:pt>
                <c:pt idx="38">
                  <c:v>360</c:v>
                </c:pt>
                <c:pt idx="39">
                  <c:v>357</c:v>
                </c:pt>
                <c:pt idx="40">
                  <c:v>4</c:v>
                </c:pt>
                <c:pt idx="41">
                  <c:v>85</c:v>
                </c:pt>
                <c:pt idx="42">
                  <c:v>3</c:v>
                </c:pt>
                <c:pt idx="43">
                  <c:v>22</c:v>
                </c:pt>
                <c:pt idx="44">
                  <c:v>55</c:v>
                </c:pt>
                <c:pt idx="45">
                  <c:v>0</c:v>
                </c:pt>
                <c:pt idx="46">
                  <c:v>0</c:v>
                </c:pt>
                <c:pt idx="47">
                  <c:v>65</c:v>
                </c:pt>
                <c:pt idx="48">
                  <c:v>0</c:v>
                </c:pt>
                <c:pt idx="49">
                  <c:v>0</c:v>
                </c:pt>
                <c:pt idx="50">
                  <c:v>749</c:v>
                </c:pt>
                <c:pt idx="51">
                  <c:v>703</c:v>
                </c:pt>
                <c:pt idx="52">
                  <c:v>699</c:v>
                </c:pt>
                <c:pt idx="53">
                  <c:v>830</c:v>
                </c:pt>
                <c:pt idx="54">
                  <c:v>662</c:v>
                </c:pt>
                <c:pt idx="55">
                  <c:v>710</c:v>
                </c:pt>
                <c:pt idx="56">
                  <c:v>668</c:v>
                </c:pt>
                <c:pt idx="57">
                  <c:v>593</c:v>
                </c:pt>
                <c:pt idx="58">
                  <c:v>732</c:v>
                </c:pt>
                <c:pt idx="59">
                  <c:v>830</c:v>
                </c:pt>
                <c:pt idx="60">
                  <c:v>690</c:v>
                </c:pt>
                <c:pt idx="61">
                  <c:v>610</c:v>
                </c:pt>
                <c:pt idx="62">
                  <c:v>699</c:v>
                </c:pt>
                <c:pt idx="63">
                  <c:v>670</c:v>
                </c:pt>
                <c:pt idx="64">
                  <c:v>561</c:v>
                </c:pt>
                <c:pt idx="65">
                  <c:v>183</c:v>
                </c:pt>
                <c:pt idx="66">
                  <c:v>100</c:v>
                </c:pt>
                <c:pt idx="67">
                  <c:v>198</c:v>
                </c:pt>
                <c:pt idx="68">
                  <c:v>208</c:v>
                </c:pt>
                <c:pt idx="69">
                  <c:v>65</c:v>
                </c:pt>
                <c:pt idx="70">
                  <c:v>4</c:v>
                </c:pt>
                <c:pt idx="71">
                  <c:v>4</c:v>
                </c:pt>
                <c:pt idx="72">
                  <c:v>8</c:v>
                </c:pt>
                <c:pt idx="73">
                  <c:v>3</c:v>
                </c:pt>
                <c:pt idx="74">
                  <c:v>5</c:v>
                </c:pt>
              </c:numCache>
            </c:numRef>
          </c:xVal>
          <c:yVal>
            <c:numRef>
              <c:f>'CA - continous data model (new)'!$L$135:$L$224</c:f>
              <c:numCache>
                <c:formatCode>0.00</c:formatCode>
                <c:ptCount val="90"/>
                <c:pt idx="0">
                  <c:v>728.93699973253979</c:v>
                </c:pt>
                <c:pt idx="1">
                  <c:v>728.93699973253979</c:v>
                </c:pt>
                <c:pt idx="2">
                  <c:v>728.93699973253979</c:v>
                </c:pt>
                <c:pt idx="3">
                  <c:v>728.93699973253979</c:v>
                </c:pt>
                <c:pt idx="4">
                  <c:v>728.93699973253979</c:v>
                </c:pt>
                <c:pt idx="5">
                  <c:v>708.20163744389015</c:v>
                </c:pt>
                <c:pt idx="6">
                  <c:v>708.20163744389015</c:v>
                </c:pt>
                <c:pt idx="7">
                  <c:v>708.20163744389015</c:v>
                </c:pt>
                <c:pt idx="8">
                  <c:v>708.20163744389015</c:v>
                </c:pt>
                <c:pt idx="9">
                  <c:v>708.20163744389015</c:v>
                </c:pt>
                <c:pt idx="10">
                  <c:v>677.73655736104479</c:v>
                </c:pt>
                <c:pt idx="11">
                  <c:v>677.73655736104479</c:v>
                </c:pt>
                <c:pt idx="12">
                  <c:v>677.73655736104479</c:v>
                </c:pt>
                <c:pt idx="13">
                  <c:v>677.73655736104479</c:v>
                </c:pt>
                <c:pt idx="14">
                  <c:v>677.73655736104479</c:v>
                </c:pt>
                <c:pt idx="15">
                  <c:v>621.06449932270084</c:v>
                </c:pt>
                <c:pt idx="16">
                  <c:v>621.06449932270084</c:v>
                </c:pt>
                <c:pt idx="17">
                  <c:v>621.06449932270084</c:v>
                </c:pt>
                <c:pt idx="18">
                  <c:v>621.06449932270084</c:v>
                </c:pt>
                <c:pt idx="19">
                  <c:v>621.06449932270084</c:v>
                </c:pt>
                <c:pt idx="20">
                  <c:v>308.51462740429668</c:v>
                </c:pt>
                <c:pt idx="21">
                  <c:v>308.51462740429668</c:v>
                </c:pt>
                <c:pt idx="22">
                  <c:v>308.51462740429668</c:v>
                </c:pt>
                <c:pt idx="23">
                  <c:v>308.51462740429668</c:v>
                </c:pt>
                <c:pt idx="24">
                  <c:v>308.51462740429668</c:v>
                </c:pt>
                <c:pt idx="25">
                  <c:v>741.16368147136268</c:v>
                </c:pt>
                <c:pt idx="26">
                  <c:v>741.16368147136268</c:v>
                </c:pt>
                <c:pt idx="27">
                  <c:v>741.16368147136268</c:v>
                </c:pt>
                <c:pt idx="28">
                  <c:v>741.16368147136268</c:v>
                </c:pt>
                <c:pt idx="29">
                  <c:v>741.16368147136268</c:v>
                </c:pt>
                <c:pt idx="30">
                  <c:v>709.92905346292264</c:v>
                </c:pt>
                <c:pt idx="31">
                  <c:v>709.92905346292264</c:v>
                </c:pt>
                <c:pt idx="32">
                  <c:v>709.92905346292264</c:v>
                </c:pt>
                <c:pt idx="33">
                  <c:v>709.92905346292264</c:v>
                </c:pt>
                <c:pt idx="34">
                  <c:v>709.92905346292264</c:v>
                </c:pt>
                <c:pt idx="35">
                  <c:v>442.81321671007959</c:v>
                </c:pt>
                <c:pt idx="36">
                  <c:v>442.81321671007959</c:v>
                </c:pt>
                <c:pt idx="37">
                  <c:v>442.81321671007959</c:v>
                </c:pt>
                <c:pt idx="38">
                  <c:v>442.81321671007959</c:v>
                </c:pt>
                <c:pt idx="39">
                  <c:v>442.81321671007959</c:v>
                </c:pt>
                <c:pt idx="40">
                  <c:v>6.9924797465167563</c:v>
                </c:pt>
                <c:pt idx="41">
                  <c:v>6.9924797465167563</c:v>
                </c:pt>
                <c:pt idx="42">
                  <c:v>6.9924797465167563</c:v>
                </c:pt>
                <c:pt idx="43">
                  <c:v>6.9924797465167563</c:v>
                </c:pt>
                <c:pt idx="44">
                  <c:v>6.9924797465167563</c:v>
                </c:pt>
                <c:pt idx="45">
                  <c:v>4.8315241080605802E-2</c:v>
                </c:pt>
                <c:pt idx="46">
                  <c:v>4.8315241080605802E-2</c:v>
                </c:pt>
                <c:pt idx="47">
                  <c:v>4.8315241080605802E-2</c:v>
                </c:pt>
                <c:pt idx="48">
                  <c:v>4.8315241080605802E-2</c:v>
                </c:pt>
                <c:pt idx="49">
                  <c:v>4.8315241080605802E-2</c:v>
                </c:pt>
                <c:pt idx="50">
                  <c:v>730.16036749795785</c:v>
                </c:pt>
                <c:pt idx="51">
                  <c:v>730.16036749795785</c:v>
                </c:pt>
                <c:pt idx="52">
                  <c:v>730.16036749795785</c:v>
                </c:pt>
                <c:pt idx="53">
                  <c:v>730.16036749795785</c:v>
                </c:pt>
                <c:pt idx="54">
                  <c:v>730.16036749795785</c:v>
                </c:pt>
                <c:pt idx="55">
                  <c:v>703.69265950653403</c:v>
                </c:pt>
                <c:pt idx="56">
                  <c:v>703.69265950653403</c:v>
                </c:pt>
                <c:pt idx="57">
                  <c:v>703.69265950653403</c:v>
                </c:pt>
                <c:pt idx="58">
                  <c:v>703.69265950653403</c:v>
                </c:pt>
                <c:pt idx="59">
                  <c:v>703.69265950653403</c:v>
                </c:pt>
                <c:pt idx="60">
                  <c:v>639.62902793484795</c:v>
                </c:pt>
                <c:pt idx="61">
                  <c:v>639.62902793484795</c:v>
                </c:pt>
                <c:pt idx="62">
                  <c:v>639.62902793484795</c:v>
                </c:pt>
                <c:pt idx="63">
                  <c:v>639.62902793484795</c:v>
                </c:pt>
                <c:pt idx="64">
                  <c:v>639.62902793484795</c:v>
                </c:pt>
                <c:pt idx="65">
                  <c:v>112.11921547202874</c:v>
                </c:pt>
                <c:pt idx="66">
                  <c:v>112.11921547202874</c:v>
                </c:pt>
                <c:pt idx="67">
                  <c:v>112.11921547202874</c:v>
                </c:pt>
                <c:pt idx="68">
                  <c:v>112.11921547202874</c:v>
                </c:pt>
                <c:pt idx="69">
                  <c:v>112.11921547202874</c:v>
                </c:pt>
                <c:pt idx="70">
                  <c:v>0.89315073715873927</c:v>
                </c:pt>
                <c:pt idx="71">
                  <c:v>0.89315073715873927</c:v>
                </c:pt>
                <c:pt idx="72">
                  <c:v>0.89315073715873927</c:v>
                </c:pt>
                <c:pt idx="73">
                  <c:v>0.89315073715873927</c:v>
                </c:pt>
                <c:pt idx="74">
                  <c:v>0.89315073715873927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12-46B4-A889-ED7555C26F7C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continous data model (new)'!$S$2:$S$3</c:f>
              <c:numCache>
                <c:formatCode>0.00</c:formatCode>
                <c:ptCount val="2"/>
                <c:pt idx="0">
                  <c:v>0</c:v>
                </c:pt>
                <c:pt idx="1">
                  <c:v>1051</c:v>
                </c:pt>
              </c:numCache>
            </c:numRef>
          </c:xVal>
          <c:yVal>
            <c:numRef>
              <c:f>'CA - continous data model (new)'!$S$2:$S$3</c:f>
              <c:numCache>
                <c:formatCode>0.00</c:formatCode>
                <c:ptCount val="2"/>
                <c:pt idx="0">
                  <c:v>0</c:v>
                </c:pt>
                <c:pt idx="1">
                  <c:v>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12-46B4-A889-ED7555C2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52640"/>
        <c:axId val="1"/>
      </c:scatterChart>
      <c:valAx>
        <c:axId val="1552252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0110684943456729"/>
              <c:y val="0.8678170460813735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4.1395783214159904E-2"/>
              <c:y val="0.3726084269878473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5225264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0394968452763182"/>
          <c:y val="0.56732637915569017"/>
          <c:w val="0.18083421088290907"/>
          <c:h val="0.182698325490815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Level Dependent Deviation
</a:t>
            </a:r>
          </a:p>
        </c:rich>
      </c:tx>
      <c:layout>
        <c:manualLayout>
          <c:xMode val="edge"/>
          <c:yMode val="edge"/>
          <c:x val="0.1952855434675973"/>
          <c:y val="2.83514676498481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030750834972017"/>
          <c:y val="0.14691215054921294"/>
          <c:w val="0.68028040966184988"/>
          <c:h val="0.60569044524675508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continous data model (new)'!$C$45:$C$89</c:f>
              <c:numCache>
                <c:formatCode>0.00</c:formatCode>
                <c:ptCount val="45"/>
                <c:pt idx="0">
                  <c:v>861</c:v>
                </c:pt>
                <c:pt idx="1">
                  <c:v>884</c:v>
                </c:pt>
                <c:pt idx="2">
                  <c:v>763</c:v>
                </c:pt>
                <c:pt idx="3">
                  <c:v>822</c:v>
                </c:pt>
                <c:pt idx="4">
                  <c:v>1051</c:v>
                </c:pt>
                <c:pt idx="5">
                  <c:v>937</c:v>
                </c:pt>
                <c:pt idx="6">
                  <c:v>821</c:v>
                </c:pt>
                <c:pt idx="7">
                  <c:v>971</c:v>
                </c:pt>
                <c:pt idx="8">
                  <c:v>861</c:v>
                </c:pt>
                <c:pt idx="9">
                  <c:v>837</c:v>
                </c:pt>
                <c:pt idx="10">
                  <c:v>169</c:v>
                </c:pt>
                <c:pt idx="11">
                  <c:v>73</c:v>
                </c:pt>
                <c:pt idx="12">
                  <c:v>133</c:v>
                </c:pt>
                <c:pt idx="13">
                  <c:v>101</c:v>
                </c:pt>
                <c:pt idx="14">
                  <c:v>324</c:v>
                </c:pt>
                <c:pt idx="15">
                  <c:v>23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xVal>
          <c:yVal>
            <c:numRef>
              <c:f>'CA - continous data model (new)'!$O$45:$O$89</c:f>
              <c:numCache>
                <c:formatCode>0.00</c:formatCode>
                <c:ptCount val="45"/>
                <c:pt idx="0">
                  <c:v>806.890515597427</c:v>
                </c:pt>
                <c:pt idx="1">
                  <c:v>806.890515597427</c:v>
                </c:pt>
                <c:pt idx="2">
                  <c:v>806.890515597427</c:v>
                </c:pt>
                <c:pt idx="3">
                  <c:v>806.890515597427</c:v>
                </c:pt>
                <c:pt idx="4">
                  <c:v>806.890515597427</c:v>
                </c:pt>
                <c:pt idx="5">
                  <c:v>785.10203754824511</c:v>
                </c:pt>
                <c:pt idx="6">
                  <c:v>785.10203754824511</c:v>
                </c:pt>
                <c:pt idx="7">
                  <c:v>785.10203754824511</c:v>
                </c:pt>
                <c:pt idx="8">
                  <c:v>785.10203754824511</c:v>
                </c:pt>
                <c:pt idx="9">
                  <c:v>785.10203754824511</c:v>
                </c:pt>
                <c:pt idx="10">
                  <c:v>90.15459589253156</c:v>
                </c:pt>
                <c:pt idx="11">
                  <c:v>90.15459589253156</c:v>
                </c:pt>
                <c:pt idx="12">
                  <c:v>90.15459589253156</c:v>
                </c:pt>
                <c:pt idx="13">
                  <c:v>90.15459589253156</c:v>
                </c:pt>
                <c:pt idx="14">
                  <c:v>90.15459589253156</c:v>
                </c:pt>
                <c:pt idx="15">
                  <c:v>0.3553815492058322</c:v>
                </c:pt>
                <c:pt idx="16">
                  <c:v>0.3553815492058322</c:v>
                </c:pt>
                <c:pt idx="17">
                  <c:v>0.3553815492058322</c:v>
                </c:pt>
                <c:pt idx="18">
                  <c:v>0.3553815492058322</c:v>
                </c:pt>
                <c:pt idx="19">
                  <c:v>0.3553815492058322</c:v>
                </c:pt>
                <c:pt idx="20">
                  <c:v>1.2454712372068774E-3</c:v>
                </c:pt>
                <c:pt idx="21">
                  <c:v>1.2454712372068774E-3</c:v>
                </c:pt>
                <c:pt idx="22">
                  <c:v>1.2454712372068774E-3</c:v>
                </c:pt>
                <c:pt idx="23">
                  <c:v>1.2454712372068774E-3</c:v>
                </c:pt>
                <c:pt idx="24">
                  <c:v>1.2454712372068774E-3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00-4636-AD67-EEB0B541E448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continous data model (new)'!$C$90:$C$134</c:f>
              <c:numCache>
                <c:formatCode>0.00</c:formatCode>
                <c:ptCount val="45"/>
                <c:pt idx="0">
                  <c:v>569</c:v>
                </c:pt>
                <c:pt idx="1">
                  <c:v>617</c:v>
                </c:pt>
                <c:pt idx="2">
                  <c:v>655</c:v>
                </c:pt>
                <c:pt idx="3">
                  <c:v>599</c:v>
                </c:pt>
                <c:pt idx="4">
                  <c:v>607</c:v>
                </c:pt>
                <c:pt idx="5">
                  <c:v>708</c:v>
                </c:pt>
                <c:pt idx="6">
                  <c:v>572</c:v>
                </c:pt>
                <c:pt idx="7">
                  <c:v>547</c:v>
                </c:pt>
                <c:pt idx="8">
                  <c:v>641</c:v>
                </c:pt>
                <c:pt idx="9">
                  <c:v>644</c:v>
                </c:pt>
                <c:pt idx="10">
                  <c:v>578</c:v>
                </c:pt>
                <c:pt idx="11">
                  <c:v>550</c:v>
                </c:pt>
                <c:pt idx="12">
                  <c:v>585</c:v>
                </c:pt>
                <c:pt idx="13">
                  <c:v>421</c:v>
                </c:pt>
                <c:pt idx="14">
                  <c:v>632</c:v>
                </c:pt>
                <c:pt idx="15">
                  <c:v>616</c:v>
                </c:pt>
                <c:pt idx="16">
                  <c:v>745</c:v>
                </c:pt>
                <c:pt idx="17">
                  <c:v>611</c:v>
                </c:pt>
                <c:pt idx="18">
                  <c:v>586</c:v>
                </c:pt>
                <c:pt idx="19">
                  <c:v>522</c:v>
                </c:pt>
                <c:pt idx="20">
                  <c:v>549</c:v>
                </c:pt>
                <c:pt idx="21">
                  <c:v>552</c:v>
                </c:pt>
                <c:pt idx="22">
                  <c:v>473</c:v>
                </c:pt>
                <c:pt idx="23">
                  <c:v>350</c:v>
                </c:pt>
                <c:pt idx="24">
                  <c:v>626</c:v>
                </c:pt>
              </c:numCache>
            </c:numRef>
          </c:xVal>
          <c:yVal>
            <c:numRef>
              <c:f>'CA - continous data model (new)'!$O$90:$O$134</c:f>
              <c:numCache>
                <c:formatCode>0.00</c:formatCode>
                <c:ptCount val="45"/>
                <c:pt idx="0">
                  <c:v>628.80119695733117</c:v>
                </c:pt>
                <c:pt idx="1">
                  <c:v>628.80119695733117</c:v>
                </c:pt>
                <c:pt idx="2">
                  <c:v>628.80119695733117</c:v>
                </c:pt>
                <c:pt idx="3">
                  <c:v>628.80119695733117</c:v>
                </c:pt>
                <c:pt idx="4">
                  <c:v>628.80119695733117</c:v>
                </c:pt>
                <c:pt idx="5">
                  <c:v>607.72541537848065</c:v>
                </c:pt>
                <c:pt idx="6">
                  <c:v>607.72541537848065</c:v>
                </c:pt>
                <c:pt idx="7">
                  <c:v>607.72541537848065</c:v>
                </c:pt>
                <c:pt idx="8">
                  <c:v>607.72541537848065</c:v>
                </c:pt>
                <c:pt idx="9">
                  <c:v>607.72541537848065</c:v>
                </c:pt>
                <c:pt idx="10">
                  <c:v>585.03647104445417</c:v>
                </c:pt>
                <c:pt idx="11">
                  <c:v>585.03647104445417</c:v>
                </c:pt>
                <c:pt idx="12">
                  <c:v>585.03647104445417</c:v>
                </c:pt>
                <c:pt idx="13">
                  <c:v>585.03647104445417</c:v>
                </c:pt>
                <c:pt idx="14">
                  <c:v>585.03647104445417</c:v>
                </c:pt>
                <c:pt idx="15">
                  <c:v>560.81034747106105</c:v>
                </c:pt>
                <c:pt idx="16">
                  <c:v>560.81034747106105</c:v>
                </c:pt>
                <c:pt idx="17">
                  <c:v>560.81034747106105</c:v>
                </c:pt>
                <c:pt idx="18">
                  <c:v>560.81034747106105</c:v>
                </c:pt>
                <c:pt idx="19">
                  <c:v>560.81034747106105</c:v>
                </c:pt>
                <c:pt idx="20">
                  <c:v>535.16831759485285</c:v>
                </c:pt>
                <c:pt idx="21">
                  <c:v>535.16831759485285</c:v>
                </c:pt>
                <c:pt idx="22">
                  <c:v>535.16831759485285</c:v>
                </c:pt>
                <c:pt idx="23">
                  <c:v>535.16831759485285</c:v>
                </c:pt>
                <c:pt idx="24">
                  <c:v>535.16831759485285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00-4636-AD67-EEB0B541E448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continous data model (new)'!$C$135:$C$224</c:f>
              <c:numCache>
                <c:formatCode>0.00</c:formatCode>
                <c:ptCount val="90"/>
                <c:pt idx="0">
                  <c:v>820</c:v>
                </c:pt>
                <c:pt idx="1">
                  <c:v>843</c:v>
                </c:pt>
                <c:pt idx="2">
                  <c:v>888</c:v>
                </c:pt>
                <c:pt idx="3">
                  <c:v>820</c:v>
                </c:pt>
                <c:pt idx="4">
                  <c:v>811</c:v>
                </c:pt>
                <c:pt idx="5">
                  <c:v>886</c:v>
                </c:pt>
                <c:pt idx="6">
                  <c:v>832</c:v>
                </c:pt>
                <c:pt idx="7">
                  <c:v>762</c:v>
                </c:pt>
                <c:pt idx="8">
                  <c:v>821</c:v>
                </c:pt>
                <c:pt idx="9">
                  <c:v>788</c:v>
                </c:pt>
                <c:pt idx="10">
                  <c:v>749</c:v>
                </c:pt>
                <c:pt idx="11">
                  <c:v>785</c:v>
                </c:pt>
                <c:pt idx="12">
                  <c:v>823</c:v>
                </c:pt>
                <c:pt idx="13">
                  <c:v>717</c:v>
                </c:pt>
                <c:pt idx="14">
                  <c:v>721</c:v>
                </c:pt>
                <c:pt idx="15">
                  <c:v>636</c:v>
                </c:pt>
                <c:pt idx="16">
                  <c:v>951</c:v>
                </c:pt>
                <c:pt idx="17">
                  <c:v>568</c:v>
                </c:pt>
                <c:pt idx="18">
                  <c:v>904</c:v>
                </c:pt>
                <c:pt idx="19">
                  <c:v>907</c:v>
                </c:pt>
                <c:pt idx="20">
                  <c:v>287</c:v>
                </c:pt>
                <c:pt idx="21">
                  <c:v>347</c:v>
                </c:pt>
                <c:pt idx="22">
                  <c:v>387</c:v>
                </c:pt>
                <c:pt idx="23">
                  <c:v>187</c:v>
                </c:pt>
                <c:pt idx="24">
                  <c:v>187</c:v>
                </c:pt>
                <c:pt idx="25">
                  <c:v>789</c:v>
                </c:pt>
                <c:pt idx="26">
                  <c:v>765</c:v>
                </c:pt>
                <c:pt idx="27">
                  <c:v>559</c:v>
                </c:pt>
                <c:pt idx="28">
                  <c:v>801</c:v>
                </c:pt>
                <c:pt idx="29">
                  <c:v>700</c:v>
                </c:pt>
                <c:pt idx="30">
                  <c:v>739</c:v>
                </c:pt>
                <c:pt idx="31">
                  <c:v>669</c:v>
                </c:pt>
                <c:pt idx="32">
                  <c:v>732</c:v>
                </c:pt>
                <c:pt idx="33">
                  <c:v>774</c:v>
                </c:pt>
                <c:pt idx="34">
                  <c:v>665</c:v>
                </c:pt>
                <c:pt idx="35">
                  <c:v>483</c:v>
                </c:pt>
                <c:pt idx="36">
                  <c:v>434</c:v>
                </c:pt>
                <c:pt idx="37">
                  <c:v>337</c:v>
                </c:pt>
                <c:pt idx="38">
                  <c:v>360</c:v>
                </c:pt>
                <c:pt idx="39">
                  <c:v>357</c:v>
                </c:pt>
                <c:pt idx="40">
                  <c:v>4</c:v>
                </c:pt>
                <c:pt idx="41">
                  <c:v>85</c:v>
                </c:pt>
                <c:pt idx="42">
                  <c:v>3</c:v>
                </c:pt>
                <c:pt idx="43">
                  <c:v>22</c:v>
                </c:pt>
                <c:pt idx="44">
                  <c:v>55</c:v>
                </c:pt>
                <c:pt idx="45">
                  <c:v>0</c:v>
                </c:pt>
                <c:pt idx="46">
                  <c:v>0</c:v>
                </c:pt>
                <c:pt idx="47">
                  <c:v>65</c:v>
                </c:pt>
                <c:pt idx="48">
                  <c:v>0</c:v>
                </c:pt>
                <c:pt idx="49">
                  <c:v>0</c:v>
                </c:pt>
                <c:pt idx="50">
                  <c:v>749</c:v>
                </c:pt>
                <c:pt idx="51">
                  <c:v>703</c:v>
                </c:pt>
                <c:pt idx="52">
                  <c:v>699</c:v>
                </c:pt>
                <c:pt idx="53">
                  <c:v>830</c:v>
                </c:pt>
                <c:pt idx="54">
                  <c:v>662</c:v>
                </c:pt>
                <c:pt idx="55">
                  <c:v>710</c:v>
                </c:pt>
                <c:pt idx="56">
                  <c:v>668</c:v>
                </c:pt>
                <c:pt idx="57">
                  <c:v>593</c:v>
                </c:pt>
                <c:pt idx="58">
                  <c:v>732</c:v>
                </c:pt>
                <c:pt idx="59">
                  <c:v>830</c:v>
                </c:pt>
                <c:pt idx="60">
                  <c:v>690</c:v>
                </c:pt>
                <c:pt idx="61">
                  <c:v>610</c:v>
                </c:pt>
                <c:pt idx="62">
                  <c:v>699</c:v>
                </c:pt>
                <c:pt idx="63">
                  <c:v>670</c:v>
                </c:pt>
                <c:pt idx="64">
                  <c:v>561</c:v>
                </c:pt>
                <c:pt idx="65">
                  <c:v>183</c:v>
                </c:pt>
                <c:pt idx="66">
                  <c:v>100</c:v>
                </c:pt>
                <c:pt idx="67">
                  <c:v>198</c:v>
                </c:pt>
                <c:pt idx="68">
                  <c:v>208</c:v>
                </c:pt>
                <c:pt idx="69">
                  <c:v>65</c:v>
                </c:pt>
                <c:pt idx="70">
                  <c:v>4</c:v>
                </c:pt>
                <c:pt idx="71">
                  <c:v>4</c:v>
                </c:pt>
                <c:pt idx="72">
                  <c:v>8</c:v>
                </c:pt>
                <c:pt idx="73">
                  <c:v>3</c:v>
                </c:pt>
                <c:pt idx="74">
                  <c:v>5</c:v>
                </c:pt>
              </c:numCache>
            </c:numRef>
          </c:xVal>
          <c:yVal>
            <c:numRef>
              <c:f>'CA - continous data model (new)'!$O$135:$O$224</c:f>
              <c:numCache>
                <c:formatCode>0.00</c:formatCode>
                <c:ptCount val="90"/>
                <c:pt idx="0">
                  <c:v>786.46078215987518</c:v>
                </c:pt>
                <c:pt idx="1">
                  <c:v>786.46078215987518</c:v>
                </c:pt>
                <c:pt idx="2">
                  <c:v>786.46078215987518</c:v>
                </c:pt>
                <c:pt idx="3">
                  <c:v>786.46078215987518</c:v>
                </c:pt>
                <c:pt idx="4">
                  <c:v>786.46078215987518</c:v>
                </c:pt>
                <c:pt idx="5">
                  <c:v>779.56770615523737</c:v>
                </c:pt>
                <c:pt idx="6">
                  <c:v>779.56770615523737</c:v>
                </c:pt>
                <c:pt idx="7">
                  <c:v>779.56770615523737</c:v>
                </c:pt>
                <c:pt idx="8">
                  <c:v>779.56770615523737</c:v>
                </c:pt>
                <c:pt idx="9">
                  <c:v>779.56770615523737</c:v>
                </c:pt>
                <c:pt idx="10">
                  <c:v>764.75890339124589</c:v>
                </c:pt>
                <c:pt idx="11">
                  <c:v>764.75890339124589</c:v>
                </c:pt>
                <c:pt idx="12">
                  <c:v>764.75890339124589</c:v>
                </c:pt>
                <c:pt idx="13">
                  <c:v>764.75890339124589</c:v>
                </c:pt>
                <c:pt idx="14">
                  <c:v>764.75890339124589</c:v>
                </c:pt>
                <c:pt idx="15">
                  <c:v>722.01137925287162</c:v>
                </c:pt>
                <c:pt idx="16">
                  <c:v>722.01137925287162</c:v>
                </c:pt>
                <c:pt idx="17">
                  <c:v>722.01137925287162</c:v>
                </c:pt>
                <c:pt idx="18">
                  <c:v>722.01137925287162</c:v>
                </c:pt>
                <c:pt idx="19">
                  <c:v>722.01137925287162</c:v>
                </c:pt>
                <c:pt idx="20">
                  <c:v>263.72889464009688</c:v>
                </c:pt>
                <c:pt idx="21">
                  <c:v>263.72889464009688</c:v>
                </c:pt>
                <c:pt idx="22">
                  <c:v>263.72889464009688</c:v>
                </c:pt>
                <c:pt idx="23">
                  <c:v>263.72889464009688</c:v>
                </c:pt>
                <c:pt idx="24">
                  <c:v>263.72889464009688</c:v>
                </c:pt>
                <c:pt idx="25">
                  <c:v>689.11113141053875</c:v>
                </c:pt>
                <c:pt idx="26">
                  <c:v>689.11113141053875</c:v>
                </c:pt>
                <c:pt idx="27">
                  <c:v>689.11113141053875</c:v>
                </c:pt>
                <c:pt idx="28">
                  <c:v>689.11113141053875</c:v>
                </c:pt>
                <c:pt idx="29">
                  <c:v>689.11113141053875</c:v>
                </c:pt>
                <c:pt idx="30">
                  <c:v>663.43164352323697</c:v>
                </c:pt>
                <c:pt idx="31">
                  <c:v>663.43164352323697</c:v>
                </c:pt>
                <c:pt idx="32">
                  <c:v>663.43164352323697</c:v>
                </c:pt>
                <c:pt idx="33">
                  <c:v>663.43164352323697</c:v>
                </c:pt>
                <c:pt idx="34">
                  <c:v>663.43164352323697</c:v>
                </c:pt>
                <c:pt idx="35">
                  <c:v>596.85390721439876</c:v>
                </c:pt>
                <c:pt idx="36">
                  <c:v>596.85390721439876</c:v>
                </c:pt>
                <c:pt idx="37">
                  <c:v>596.85390721439876</c:v>
                </c:pt>
                <c:pt idx="38">
                  <c:v>596.85390721439876</c:v>
                </c:pt>
                <c:pt idx="39">
                  <c:v>596.85390721439876</c:v>
                </c:pt>
                <c:pt idx="40">
                  <c:v>2.5306386691985636E-2</c:v>
                </c:pt>
                <c:pt idx="41">
                  <c:v>2.5306386691985636E-2</c:v>
                </c:pt>
                <c:pt idx="42">
                  <c:v>2.5306386691985636E-2</c:v>
                </c:pt>
                <c:pt idx="43">
                  <c:v>2.5306386691985636E-2</c:v>
                </c:pt>
                <c:pt idx="44">
                  <c:v>2.5306386691985636E-2</c:v>
                </c:pt>
                <c:pt idx="45">
                  <c:v>9.3175246794627751E-12</c:v>
                </c:pt>
                <c:pt idx="46">
                  <c:v>9.3175246794627751E-12</c:v>
                </c:pt>
                <c:pt idx="47">
                  <c:v>9.3175246794627751E-12</c:v>
                </c:pt>
                <c:pt idx="48">
                  <c:v>9.3175246794627751E-12</c:v>
                </c:pt>
                <c:pt idx="49">
                  <c:v>9.3175246794627751E-12</c:v>
                </c:pt>
                <c:pt idx="50">
                  <c:v>723.07088614276836</c:v>
                </c:pt>
                <c:pt idx="51">
                  <c:v>723.07088614276836</c:v>
                </c:pt>
                <c:pt idx="52">
                  <c:v>723.07088614276836</c:v>
                </c:pt>
                <c:pt idx="53">
                  <c:v>723.07088614276836</c:v>
                </c:pt>
                <c:pt idx="54">
                  <c:v>723.07088614276836</c:v>
                </c:pt>
                <c:pt idx="55">
                  <c:v>702.14795459262473</c:v>
                </c:pt>
                <c:pt idx="56">
                  <c:v>702.14795459262473</c:v>
                </c:pt>
                <c:pt idx="57">
                  <c:v>702.14795459262473</c:v>
                </c:pt>
                <c:pt idx="58">
                  <c:v>702.14795459262473</c:v>
                </c:pt>
                <c:pt idx="59">
                  <c:v>702.14795459262473</c:v>
                </c:pt>
                <c:pt idx="60">
                  <c:v>663.55334476022767</c:v>
                </c:pt>
                <c:pt idx="61">
                  <c:v>663.55334476022767</c:v>
                </c:pt>
                <c:pt idx="62">
                  <c:v>663.55334476022767</c:v>
                </c:pt>
                <c:pt idx="63">
                  <c:v>663.55334476022767</c:v>
                </c:pt>
                <c:pt idx="64">
                  <c:v>663.55334476022767</c:v>
                </c:pt>
                <c:pt idx="65">
                  <c:v>199.42405473892802</c:v>
                </c:pt>
                <c:pt idx="66">
                  <c:v>199.42405473892802</c:v>
                </c:pt>
                <c:pt idx="67">
                  <c:v>199.42405473892802</c:v>
                </c:pt>
                <c:pt idx="68">
                  <c:v>199.42405473892802</c:v>
                </c:pt>
                <c:pt idx="69">
                  <c:v>199.42405473892802</c:v>
                </c:pt>
                <c:pt idx="70">
                  <c:v>7.1673266765098266E-13</c:v>
                </c:pt>
                <c:pt idx="71">
                  <c:v>7.1673266765098266E-13</c:v>
                </c:pt>
                <c:pt idx="72">
                  <c:v>7.1673266765098266E-13</c:v>
                </c:pt>
                <c:pt idx="73">
                  <c:v>7.1673266765098266E-13</c:v>
                </c:pt>
                <c:pt idx="74">
                  <c:v>7.1673266765098266E-13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00-4636-AD67-EEB0B541E448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continous data model (new)'!$S$2:$S$3</c:f>
              <c:numCache>
                <c:formatCode>0.00</c:formatCode>
                <c:ptCount val="2"/>
                <c:pt idx="0">
                  <c:v>0</c:v>
                </c:pt>
                <c:pt idx="1">
                  <c:v>1051</c:v>
                </c:pt>
              </c:numCache>
            </c:numRef>
          </c:xVal>
          <c:yVal>
            <c:numRef>
              <c:f>'CA - continous data model (new)'!$S$2:$S$3</c:f>
              <c:numCache>
                <c:formatCode>0.00</c:formatCode>
                <c:ptCount val="2"/>
                <c:pt idx="0">
                  <c:v>0</c:v>
                </c:pt>
                <c:pt idx="1">
                  <c:v>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500-4636-AD67-EEB0B541E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67024"/>
        <c:axId val="1"/>
      </c:scatterChart>
      <c:valAx>
        <c:axId val="1552267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0216282605953588"/>
              <c:y val="0.866008466395360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4.5065894646368607E-2"/>
              <c:y val="0.373723891747997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5226702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0689411366831409"/>
          <c:y val="0.56187454069698983"/>
          <c:w val="0.17811758360231403"/>
          <c:h val="0.1958828673989505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CA</a:t>
            </a:r>
          </a:p>
        </c:rich>
      </c:tx>
      <c:layout>
        <c:manualLayout>
          <c:xMode val="edge"/>
          <c:yMode val="edge"/>
          <c:x val="0.30694102469873757"/>
          <c:y val="3.77370577391638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12514417019399"/>
          <c:y val="0.20047811923930772"/>
          <c:w val="0.76636242940910604"/>
          <c:h val="0.59671722550052775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continous data model (new)'!$A$25:$A$89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</c:numCache>
            </c:numRef>
          </c:xVal>
          <c:yVal>
            <c:numRef>
              <c:f>'CA - continous data model (new)'!$C$25:$C$89</c:f>
              <c:numCache>
                <c:formatCode>0.00</c:formatCode>
                <c:ptCount val="65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0">
                  <c:v>861</c:v>
                </c:pt>
                <c:pt idx="21">
                  <c:v>884</c:v>
                </c:pt>
                <c:pt idx="22">
                  <c:v>763</c:v>
                </c:pt>
                <c:pt idx="23">
                  <c:v>822</c:v>
                </c:pt>
                <c:pt idx="24">
                  <c:v>1051</c:v>
                </c:pt>
                <c:pt idx="25">
                  <c:v>937</c:v>
                </c:pt>
                <c:pt idx="26">
                  <c:v>821</c:v>
                </c:pt>
                <c:pt idx="27">
                  <c:v>971</c:v>
                </c:pt>
                <c:pt idx="28">
                  <c:v>861</c:v>
                </c:pt>
                <c:pt idx="29">
                  <c:v>837</c:v>
                </c:pt>
                <c:pt idx="30">
                  <c:v>169</c:v>
                </c:pt>
                <c:pt idx="31">
                  <c:v>73</c:v>
                </c:pt>
                <c:pt idx="32">
                  <c:v>133</c:v>
                </c:pt>
                <c:pt idx="33">
                  <c:v>101</c:v>
                </c:pt>
                <c:pt idx="34">
                  <c:v>324</c:v>
                </c:pt>
                <c:pt idx="35">
                  <c:v>23</c:v>
                </c:pt>
                <c:pt idx="36">
                  <c:v>3</c:v>
                </c:pt>
                <c:pt idx="37">
                  <c:v>0</c:v>
                </c:pt>
                <c:pt idx="38">
                  <c:v>0</c:v>
                </c:pt>
                <c:pt idx="39">
                  <c:v>8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06-4CEA-A8DC-3D328B64FE75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continous data model (new)'!$AC$4:$AC$16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>
                  <c:v>0.52</c:v>
                </c:pt>
              </c:numCache>
            </c:numRef>
          </c:xVal>
          <c:yVal>
            <c:numRef>
              <c:f>'CA - continous data model (new)'!$AD$4:$AD$16</c:f>
              <c:numCache>
                <c:formatCode>General</c:formatCode>
                <c:ptCount val="13"/>
                <c:pt idx="0">
                  <c:v>796.01307517485134</c:v>
                </c:pt>
                <c:pt idx="1">
                  <c:v>794.81277016731542</c:v>
                </c:pt>
                <c:pt idx="2">
                  <c:v>789.86437920418359</c:v>
                </c:pt>
                <c:pt idx="3">
                  <c:v>765.30390174335582</c:v>
                </c:pt>
                <c:pt idx="4">
                  <c:v>659.58371742757708</c:v>
                </c:pt>
                <c:pt idx="5">
                  <c:v>385.25326448446691</c:v>
                </c:pt>
                <c:pt idx="6">
                  <c:v>122.53929222777498</c:v>
                </c:pt>
                <c:pt idx="7">
                  <c:v>27.139744910098567</c:v>
                </c:pt>
                <c:pt idx="8">
                  <c:v>5.4138180710101178</c:v>
                </c:pt>
                <c:pt idx="9">
                  <c:v>1.056056598631147</c:v>
                </c:pt>
                <c:pt idx="10">
                  <c:v>0.20509172087365982</c:v>
                </c:pt>
                <c:pt idx="11">
                  <c:v>3.9795559731735437E-2</c:v>
                </c:pt>
                <c:pt idx="12">
                  <c:v>7.7205530019443724E-3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06-4CEA-A8DC-3D328B64F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71488"/>
        <c:axId val="1"/>
      </c:scatterChart>
      <c:valAx>
        <c:axId val="1552271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298722757083447"/>
              <c:y val="0.882103724652953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4.3565822860465973E-2"/>
              <c:y val="0.408031936804708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522714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CA</a:t>
            </a:r>
          </a:p>
        </c:rich>
      </c:tx>
      <c:layout>
        <c:manualLayout>
          <c:xMode val="edge"/>
          <c:yMode val="edge"/>
          <c:x val="0.30000937977747383"/>
          <c:y val="3.755992854925091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694649627941723"/>
          <c:y val="0.21596958915819275"/>
          <c:w val="0.70614452655106086"/>
          <c:h val="0.56574642377309181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continous data model (new)'!$B$25:$B$44,'CA - continous data model (new)'!$B$90:$B$134)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</c:numCache>
            </c:numRef>
          </c:xVal>
          <c:yVal>
            <c:numRef>
              <c:f>('CA - continous data model (new)'!$C$25:$C$44,'CA - continous data model (new)'!$C$90:$C$134)</c:f>
              <c:numCache>
                <c:formatCode>0.00</c:formatCode>
                <c:ptCount val="65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0">
                  <c:v>569</c:v>
                </c:pt>
                <c:pt idx="21">
                  <c:v>617</c:v>
                </c:pt>
                <c:pt idx="22">
                  <c:v>655</c:v>
                </c:pt>
                <c:pt idx="23">
                  <c:v>599</c:v>
                </c:pt>
                <c:pt idx="24">
                  <c:v>607</c:v>
                </c:pt>
                <c:pt idx="25">
                  <c:v>708</c:v>
                </c:pt>
                <c:pt idx="26">
                  <c:v>572</c:v>
                </c:pt>
                <c:pt idx="27">
                  <c:v>547</c:v>
                </c:pt>
                <c:pt idx="28">
                  <c:v>641</c:v>
                </c:pt>
                <c:pt idx="29">
                  <c:v>644</c:v>
                </c:pt>
                <c:pt idx="30">
                  <c:v>578</c:v>
                </c:pt>
                <c:pt idx="31">
                  <c:v>550</c:v>
                </c:pt>
                <c:pt idx="32">
                  <c:v>585</c:v>
                </c:pt>
                <c:pt idx="33">
                  <c:v>421</c:v>
                </c:pt>
                <c:pt idx="34">
                  <c:v>632</c:v>
                </c:pt>
                <c:pt idx="35">
                  <c:v>616</c:v>
                </c:pt>
                <c:pt idx="36">
                  <c:v>745</c:v>
                </c:pt>
                <c:pt idx="37">
                  <c:v>611</c:v>
                </c:pt>
                <c:pt idx="38">
                  <c:v>586</c:v>
                </c:pt>
                <c:pt idx="39">
                  <c:v>522</c:v>
                </c:pt>
                <c:pt idx="40">
                  <c:v>549</c:v>
                </c:pt>
                <c:pt idx="41">
                  <c:v>552</c:v>
                </c:pt>
                <c:pt idx="42">
                  <c:v>473</c:v>
                </c:pt>
                <c:pt idx="43">
                  <c:v>350</c:v>
                </c:pt>
                <c:pt idx="44">
                  <c:v>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70-40F3-9F0A-1CB827FE1FD5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continous data model (new)'!$AJ$4:$AJ$16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>
                  <c:v>5.2</c:v>
                </c:pt>
              </c:numCache>
            </c:numRef>
          </c:xVal>
          <c:yVal>
            <c:numRef>
              <c:f>'CA - continous data model (new)'!$AK$4:$AK$16</c:f>
              <c:numCache>
                <c:formatCode>General</c:formatCode>
                <c:ptCount val="13"/>
                <c:pt idx="0">
                  <c:v>796.01307517485134</c:v>
                </c:pt>
                <c:pt idx="1">
                  <c:v>716.82258517757555</c:v>
                </c:pt>
                <c:pt idx="2">
                  <c:v>709.48307286035515</c:v>
                </c:pt>
                <c:pt idx="3">
                  <c:v>701.55296101830743</c:v>
                </c:pt>
                <c:pt idx="4">
                  <c:v>693.00160784232355</c:v>
                </c:pt>
                <c:pt idx="5">
                  <c:v>683.79993551185282</c:v>
                </c:pt>
                <c:pt idx="6">
                  <c:v>673.92111908311165</c:v>
                </c:pt>
                <c:pt idx="7">
                  <c:v>663.34134835870304</c:v>
                </c:pt>
                <c:pt idx="8">
                  <c:v>652.04065240828993</c:v>
                </c:pt>
                <c:pt idx="9">
                  <c:v>640.00377101840559</c:v>
                </c:pt>
                <c:pt idx="10">
                  <c:v>627.22105145766488</c:v>
                </c:pt>
                <c:pt idx="11">
                  <c:v>613.68934286001695</c:v>
                </c:pt>
                <c:pt idx="12">
                  <c:v>599.41285468057492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70-40F3-9F0A-1CB827FE1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56112"/>
        <c:axId val="1"/>
      </c:scatterChart>
      <c:valAx>
        <c:axId val="1552256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306288349805659"/>
              <c:y val="0.8662258521670991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9.7962246457950639E-2"/>
              <c:y val="0.4084642229731036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5225611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SA</a:t>
            </a:r>
          </a:p>
        </c:rich>
      </c:tx>
      <c:layout>
        <c:manualLayout>
          <c:xMode val="edge"/>
          <c:yMode val="edge"/>
          <c:x val="0.30100023067231035"/>
          <c:y val="3.653093264637163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02646754757261"/>
          <c:y val="0.1895042131030529"/>
          <c:w val="0.73467819460149442"/>
          <c:h val="0.6027603886651320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continous data model (new)'!$A$25:$A$89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</c:numCache>
            </c:numRef>
          </c:xVal>
          <c:yVal>
            <c:numRef>
              <c:f>'CA - continous data model (new)'!$C$25:$C$89</c:f>
              <c:numCache>
                <c:formatCode>0.00</c:formatCode>
                <c:ptCount val="65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0">
                  <c:v>861</c:v>
                </c:pt>
                <c:pt idx="21">
                  <c:v>884</c:v>
                </c:pt>
                <c:pt idx="22">
                  <c:v>763</c:v>
                </c:pt>
                <c:pt idx="23">
                  <c:v>822</c:v>
                </c:pt>
                <c:pt idx="24">
                  <c:v>1051</c:v>
                </c:pt>
                <c:pt idx="25">
                  <c:v>937</c:v>
                </c:pt>
                <c:pt idx="26">
                  <c:v>821</c:v>
                </c:pt>
                <c:pt idx="27">
                  <c:v>971</c:v>
                </c:pt>
                <c:pt idx="28">
                  <c:v>861</c:v>
                </c:pt>
                <c:pt idx="29">
                  <c:v>837</c:v>
                </c:pt>
                <c:pt idx="30">
                  <c:v>169</c:v>
                </c:pt>
                <c:pt idx="31">
                  <c:v>73</c:v>
                </c:pt>
                <c:pt idx="32">
                  <c:v>133</c:v>
                </c:pt>
                <c:pt idx="33">
                  <c:v>101</c:v>
                </c:pt>
                <c:pt idx="34">
                  <c:v>324</c:v>
                </c:pt>
                <c:pt idx="35">
                  <c:v>23</c:v>
                </c:pt>
                <c:pt idx="36">
                  <c:v>3</c:v>
                </c:pt>
                <c:pt idx="37">
                  <c:v>0</c:v>
                </c:pt>
                <c:pt idx="38">
                  <c:v>0</c:v>
                </c:pt>
                <c:pt idx="39">
                  <c:v>8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E1-4344-8292-CD3E8191B44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continous data model (new)'!$AC$20:$AC$37</c:f>
              <c:numCache>
                <c:formatCode>General</c:formatCode>
                <c:ptCount val="18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8">
                  <c:v>0.14005111865831027</c:v>
                </c:pt>
                <c:pt idx="10">
                  <c:v>0.18206645425580337</c:v>
                </c:pt>
                <c:pt idx="12">
                  <c:v>0.23668639053254439</c:v>
                </c:pt>
                <c:pt idx="14">
                  <c:v>0.30769230769230771</c:v>
                </c:pt>
                <c:pt idx="16">
                  <c:v>0.4</c:v>
                </c:pt>
                <c:pt idx="17">
                  <c:v>0.52</c:v>
                </c:pt>
              </c:numCache>
            </c:numRef>
          </c:xVal>
          <c:yVal>
            <c:numRef>
              <c:f>'CA - continous data model (new)'!$AD$20:$AD$37</c:f>
              <c:numCache>
                <c:formatCode>General</c:formatCode>
                <c:ptCount val="18"/>
                <c:pt idx="0">
                  <c:v>797.49871926529715</c:v>
                </c:pt>
                <c:pt idx="1">
                  <c:v>796.95073432091021</c:v>
                </c:pt>
                <c:pt idx="2">
                  <c:v>793.50808670727247</c:v>
                </c:pt>
                <c:pt idx="3">
                  <c:v>769.2052717156555</c:v>
                </c:pt>
                <c:pt idx="4">
                  <c:v>628.43291525396739</c:v>
                </c:pt>
                <c:pt idx="5">
                  <c:v>268.72980307895097</c:v>
                </c:pt>
                <c:pt idx="6">
                  <c:v>51.814536200125403</c:v>
                </c:pt>
                <c:pt idx="8">
                  <c:v>7.5052806221688559</c:v>
                </c:pt>
                <c:pt idx="10">
                  <c:v>1.0345618377024344</c:v>
                </c:pt>
                <c:pt idx="12">
                  <c:v>0.14160867412360761</c:v>
                </c:pt>
                <c:pt idx="14">
                  <c:v>1.9364362364747763E-2</c:v>
                </c:pt>
                <c:pt idx="16">
                  <c:v>2.6476408407980299E-3</c:v>
                </c:pt>
                <c:pt idx="17">
                  <c:v>3.6199876040351656E-4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E1-4344-8292-CD3E8191B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57600"/>
        <c:axId val="1"/>
      </c:scatterChart>
      <c:valAx>
        <c:axId val="15522576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49308590419345583"/>
              <c:y val="0.8835919333841141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4.3565822860465973E-2"/>
              <c:y val="0.4018402591100880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5225760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SA</a:t>
            </a:r>
          </a:p>
        </c:rich>
      </c:tx>
      <c:layout>
        <c:manualLayout>
          <c:xMode val="edge"/>
          <c:yMode val="edge"/>
          <c:x val="0.29279328797241927"/>
          <c:y val="3.85499399560270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062592826090746"/>
          <c:y val="0.1950173433069603"/>
          <c:w val="0.70311627604644344"/>
          <c:h val="0.56691088170628001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continous data model (new)'!$B$25:$B$44,'CA - continous data model (new)'!$B$90:$B$134)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</c:numCache>
            </c:numRef>
          </c:xVal>
          <c:yVal>
            <c:numRef>
              <c:f>('CA - continous data model (new)'!$C$25:$C$44,'CA - continous data model (new)'!$C$90:$C$134)</c:f>
              <c:numCache>
                <c:formatCode>0.00</c:formatCode>
                <c:ptCount val="65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0">
                  <c:v>569</c:v>
                </c:pt>
                <c:pt idx="21">
                  <c:v>617</c:v>
                </c:pt>
                <c:pt idx="22">
                  <c:v>655</c:v>
                </c:pt>
                <c:pt idx="23">
                  <c:v>599</c:v>
                </c:pt>
                <c:pt idx="24">
                  <c:v>607</c:v>
                </c:pt>
                <c:pt idx="25">
                  <c:v>708</c:v>
                </c:pt>
                <c:pt idx="26">
                  <c:v>572</c:v>
                </c:pt>
                <c:pt idx="27">
                  <c:v>547</c:v>
                </c:pt>
                <c:pt idx="28">
                  <c:v>641</c:v>
                </c:pt>
                <c:pt idx="29">
                  <c:v>644</c:v>
                </c:pt>
                <c:pt idx="30">
                  <c:v>578</c:v>
                </c:pt>
                <c:pt idx="31">
                  <c:v>550</c:v>
                </c:pt>
                <c:pt idx="32">
                  <c:v>585</c:v>
                </c:pt>
                <c:pt idx="33">
                  <c:v>421</c:v>
                </c:pt>
                <c:pt idx="34">
                  <c:v>632</c:v>
                </c:pt>
                <c:pt idx="35">
                  <c:v>616</c:v>
                </c:pt>
                <c:pt idx="36">
                  <c:v>745</c:v>
                </c:pt>
                <c:pt idx="37">
                  <c:v>611</c:v>
                </c:pt>
                <c:pt idx="38">
                  <c:v>586</c:v>
                </c:pt>
                <c:pt idx="39">
                  <c:v>522</c:v>
                </c:pt>
                <c:pt idx="40">
                  <c:v>549</c:v>
                </c:pt>
                <c:pt idx="41">
                  <c:v>552</c:v>
                </c:pt>
                <c:pt idx="42">
                  <c:v>473</c:v>
                </c:pt>
                <c:pt idx="43">
                  <c:v>350</c:v>
                </c:pt>
                <c:pt idx="44">
                  <c:v>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B6-47CF-995D-DB88077A049A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continous data model (new)'!$AJ$20:$AJ$37</c:f>
              <c:numCache>
                <c:formatCode>General</c:formatCode>
                <c:ptCount val="18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8">
                  <c:v>1.4005111865831026</c:v>
                </c:pt>
                <c:pt idx="10">
                  <c:v>1.8206645425580334</c:v>
                </c:pt>
                <c:pt idx="12">
                  <c:v>2.3668639053254434</c:v>
                </c:pt>
                <c:pt idx="14">
                  <c:v>3.0769230769230766</c:v>
                </c:pt>
                <c:pt idx="16">
                  <c:v>4</c:v>
                </c:pt>
                <c:pt idx="17">
                  <c:v>5.2</c:v>
                </c:pt>
              </c:numCache>
            </c:numRef>
          </c:xVal>
          <c:yVal>
            <c:numRef>
              <c:f>'CA - continous data model (new)'!$AK$20:$AK$37</c:f>
              <c:numCache>
                <c:formatCode>General</c:formatCode>
                <c:ptCount val="18"/>
                <c:pt idx="0">
                  <c:v>797.49871926529715</c:v>
                </c:pt>
                <c:pt idx="1">
                  <c:v>714.10902865508524</c:v>
                </c:pt>
                <c:pt idx="2">
                  <c:v>706.62866484363872</c:v>
                </c:pt>
                <c:pt idx="3">
                  <c:v>698.57024338286237</c:v>
                </c:pt>
                <c:pt idx="4">
                  <c:v>689.9060058322118</c:v>
                </c:pt>
                <c:pt idx="5">
                  <c:v>680.60991752561006</c:v>
                </c:pt>
                <c:pt idx="6">
                  <c:v>670.65830810239856</c:v>
                </c:pt>
                <c:pt idx="8">
                  <c:v>660.03057107324605</c:v>
                </c:pt>
                <c:pt idx="10">
                  <c:v>648.70991170040418</c:v>
                </c:pt>
                <c:pt idx="12">
                  <c:v>636.68412785033559</c:v>
                </c:pt>
                <c:pt idx="14">
                  <c:v>623.94640355344927</c:v>
                </c:pt>
                <c:pt idx="16">
                  <c:v>610.49609006011394</c:v>
                </c:pt>
                <c:pt idx="17">
                  <c:v>596.3394445828045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B6-47CF-995D-DB88077A0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71984"/>
        <c:axId val="1"/>
      </c:scatterChart>
      <c:valAx>
        <c:axId val="155227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49692381972783828"/>
              <c:y val="0.852633966086245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5.9795812332395476E-2"/>
              <c:y val="0.390034686613920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5227198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DR</a:t>
            </a:r>
          </a:p>
        </c:rich>
      </c:tx>
      <c:layout>
        <c:manualLayout>
          <c:xMode val="edge"/>
          <c:yMode val="edge"/>
          <c:x val="0.30556571328157645"/>
          <c:y val="3.89308221400635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49832962175173"/>
          <c:y val="0.18492140516530198"/>
          <c:w val="0.74407235377007253"/>
          <c:h val="0.6131604487060012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continous data model (new)'!$A$25:$A$89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</c:numCache>
            </c:numRef>
          </c:xVal>
          <c:yVal>
            <c:numRef>
              <c:f>'CA - continous data model (new)'!$C$25:$C$89</c:f>
              <c:numCache>
                <c:formatCode>0.00</c:formatCode>
                <c:ptCount val="65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0">
                  <c:v>861</c:v>
                </c:pt>
                <c:pt idx="21">
                  <c:v>884</c:v>
                </c:pt>
                <c:pt idx="22">
                  <c:v>763</c:v>
                </c:pt>
                <c:pt idx="23">
                  <c:v>822</c:v>
                </c:pt>
                <c:pt idx="24">
                  <c:v>1051</c:v>
                </c:pt>
                <c:pt idx="25">
                  <c:v>937</c:v>
                </c:pt>
                <c:pt idx="26">
                  <c:v>821</c:v>
                </c:pt>
                <c:pt idx="27">
                  <c:v>971</c:v>
                </c:pt>
                <c:pt idx="28">
                  <c:v>861</c:v>
                </c:pt>
                <c:pt idx="29">
                  <c:v>837</c:v>
                </c:pt>
                <c:pt idx="30">
                  <c:v>169</c:v>
                </c:pt>
                <c:pt idx="31">
                  <c:v>73</c:v>
                </c:pt>
                <c:pt idx="32">
                  <c:v>133</c:v>
                </c:pt>
                <c:pt idx="33">
                  <c:v>101</c:v>
                </c:pt>
                <c:pt idx="34">
                  <c:v>324</c:v>
                </c:pt>
                <c:pt idx="35">
                  <c:v>23</c:v>
                </c:pt>
                <c:pt idx="36">
                  <c:v>3</c:v>
                </c:pt>
                <c:pt idx="37">
                  <c:v>0</c:v>
                </c:pt>
                <c:pt idx="38">
                  <c:v>0</c:v>
                </c:pt>
                <c:pt idx="39">
                  <c:v>8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89-4425-B0AE-97AA775E8A1A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continous data model (new)'!$AC$42:$AC$54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 formatCode="0.00">
                  <c:v>0.52</c:v>
                </c:pt>
              </c:numCache>
            </c:numRef>
          </c:xVal>
          <c:yVal>
            <c:numRef>
              <c:f>'CA - continous data model (new)'!$AD$42:$AD$54</c:f>
              <c:numCache>
                <c:formatCode>General</c:formatCode>
                <c:ptCount val="13"/>
                <c:pt idx="0">
                  <c:v>797.10101304089233</c:v>
                </c:pt>
                <c:pt idx="1">
                  <c:v>796.4920135806733</c:v>
                </c:pt>
                <c:pt idx="2">
                  <c:v>793.10161194003092</c:v>
                </c:pt>
                <c:pt idx="3">
                  <c:v>771.44428090513009</c:v>
                </c:pt>
                <c:pt idx="4">
                  <c:v>653.71254015759348</c:v>
                </c:pt>
                <c:pt idx="5">
                  <c:v>325.79521972984406</c:v>
                </c:pt>
                <c:pt idx="6">
                  <c:v>75.619923713838404</c:v>
                </c:pt>
                <c:pt idx="7">
                  <c:v>12.469424895135532</c:v>
                </c:pt>
                <c:pt idx="8">
                  <c:v>1.9160997766773467</c:v>
                </c:pt>
                <c:pt idx="9">
                  <c:v>0.2911213511873223</c:v>
                </c:pt>
                <c:pt idx="10">
                  <c:v>4.4154807670545332E-2</c:v>
                </c:pt>
                <c:pt idx="11">
                  <c:v>6.6952648367319479E-3</c:v>
                </c:pt>
                <c:pt idx="12" formatCode="0.00">
                  <c:v>1.01517335003114E-3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89-4425-B0AE-97AA775E8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68016"/>
        <c:axId val="1"/>
      </c:scatterChart>
      <c:valAx>
        <c:axId val="155226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49207984995994131"/>
              <c:y val="0.8856762036864463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4.3652244754510926E-2"/>
              <c:y val="0.3990409269356516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5226801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DL</a:t>
            </a:r>
          </a:p>
        </c:rich>
      </c:tx>
      <c:layout>
        <c:manualLayout>
          <c:xMode val="edge"/>
          <c:yMode val="edge"/>
          <c:x val="0.3096753937114281"/>
          <c:y val="4.092215979036884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738320001646921"/>
          <c:y val="0.19182262401735395"/>
          <c:w val="0.74558789059184594"/>
          <c:h val="0.59592895194724627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continous data model (new)'!$A$25:$A$89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</c:numCache>
            </c:numRef>
          </c:xVal>
          <c:yVal>
            <c:numRef>
              <c:f>'CA - continous data model (new)'!$C$25:$C$89</c:f>
              <c:numCache>
                <c:formatCode>0.00</c:formatCode>
                <c:ptCount val="65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0">
                  <c:v>861</c:v>
                </c:pt>
                <c:pt idx="21">
                  <c:v>884</c:v>
                </c:pt>
                <c:pt idx="22">
                  <c:v>763</c:v>
                </c:pt>
                <c:pt idx="23">
                  <c:v>822</c:v>
                </c:pt>
                <c:pt idx="24">
                  <c:v>1051</c:v>
                </c:pt>
                <c:pt idx="25">
                  <c:v>937</c:v>
                </c:pt>
                <c:pt idx="26">
                  <c:v>821</c:v>
                </c:pt>
                <c:pt idx="27">
                  <c:v>971</c:v>
                </c:pt>
                <c:pt idx="28">
                  <c:v>861</c:v>
                </c:pt>
                <c:pt idx="29">
                  <c:v>837</c:v>
                </c:pt>
                <c:pt idx="30">
                  <c:v>169</c:v>
                </c:pt>
                <c:pt idx="31">
                  <c:v>73</c:v>
                </c:pt>
                <c:pt idx="32">
                  <c:v>133</c:v>
                </c:pt>
                <c:pt idx="33">
                  <c:v>101</c:v>
                </c:pt>
                <c:pt idx="34">
                  <c:v>324</c:v>
                </c:pt>
                <c:pt idx="35">
                  <c:v>23</c:v>
                </c:pt>
                <c:pt idx="36">
                  <c:v>3</c:v>
                </c:pt>
                <c:pt idx="37">
                  <c:v>0</c:v>
                </c:pt>
                <c:pt idx="38">
                  <c:v>0</c:v>
                </c:pt>
                <c:pt idx="39">
                  <c:v>8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4D-480B-A323-00C3ED83FA7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continous data model (new)'!$AC$59:$AC$71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 formatCode="0.00">
                  <c:v>0.52</c:v>
                </c:pt>
              </c:numCache>
            </c:numRef>
          </c:xVal>
          <c:yVal>
            <c:numRef>
              <c:f>'CA - continous data model (new)'!$AD$59:$AD$71</c:f>
              <c:numCache>
                <c:formatCode>General</c:formatCode>
                <c:ptCount val="13"/>
                <c:pt idx="0">
                  <c:v>806.96924373930676</c:v>
                </c:pt>
                <c:pt idx="1">
                  <c:v>806.70397393919609</c:v>
                </c:pt>
                <c:pt idx="2">
                  <c:v>804.71980999403058</c:v>
                </c:pt>
                <c:pt idx="3">
                  <c:v>788.23908834500321</c:v>
                </c:pt>
                <c:pt idx="4">
                  <c:v>671.35883598246414</c:v>
                </c:pt>
                <c:pt idx="5">
                  <c:v>296.99754655631392</c:v>
                </c:pt>
                <c:pt idx="6">
                  <c:v>51.740475201843438</c:v>
                </c:pt>
                <c:pt idx="7">
                  <c:v>6.451606833106962</c:v>
                </c:pt>
                <c:pt idx="8">
                  <c:v>0.76434164636504698</c:v>
                </c:pt>
                <c:pt idx="9">
                  <c:v>8.9990308011894449E-2</c:v>
                </c:pt>
                <c:pt idx="10">
                  <c:v>1.0587259900370022E-2</c:v>
                </c:pt>
                <c:pt idx="11">
                  <c:v>1.2454712372068771E-3</c:v>
                </c:pt>
                <c:pt idx="12" formatCode="0.00">
                  <c:v>1.4651409075198583E-4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4D-480B-A323-00C3ED83F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671952"/>
        <c:axId val="1"/>
      </c:scatterChart>
      <c:valAx>
        <c:axId val="1549671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49311368425386637"/>
              <c:y val="0.879826435492930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4.339400421434024E-2"/>
              <c:y val="0.3913181529954020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4967195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DR</a:t>
            </a:r>
          </a:p>
        </c:rich>
      </c:tx>
      <c:layout>
        <c:manualLayout>
          <c:xMode val="edge"/>
          <c:yMode val="edge"/>
          <c:x val="0.29669000302019732"/>
          <c:y val="3.931334812822788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784930291692811"/>
          <c:y val="0.20393799341518215"/>
          <c:w val="0.70541679039767202"/>
          <c:h val="0.55284395805320463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continous data model (new)'!$B$25:$B$44,'CA - continous data model (new)'!$B$90:$B$134)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</c:numCache>
            </c:numRef>
          </c:xVal>
          <c:yVal>
            <c:numRef>
              <c:f>('CA - continous data model (new)'!$C$25:$C$44,'CA - continous data model (new)'!$C$90:$C$134)</c:f>
              <c:numCache>
                <c:formatCode>0.00</c:formatCode>
                <c:ptCount val="65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0">
                  <c:v>569</c:v>
                </c:pt>
                <c:pt idx="21">
                  <c:v>617</c:v>
                </c:pt>
                <c:pt idx="22">
                  <c:v>655</c:v>
                </c:pt>
                <c:pt idx="23">
                  <c:v>599</c:v>
                </c:pt>
                <c:pt idx="24">
                  <c:v>607</c:v>
                </c:pt>
                <c:pt idx="25">
                  <c:v>708</c:v>
                </c:pt>
                <c:pt idx="26">
                  <c:v>572</c:v>
                </c:pt>
                <c:pt idx="27">
                  <c:v>547</c:v>
                </c:pt>
                <c:pt idx="28">
                  <c:v>641</c:v>
                </c:pt>
                <c:pt idx="29">
                  <c:v>644</c:v>
                </c:pt>
                <c:pt idx="30">
                  <c:v>578</c:v>
                </c:pt>
                <c:pt idx="31">
                  <c:v>550</c:v>
                </c:pt>
                <c:pt idx="32">
                  <c:v>585</c:v>
                </c:pt>
                <c:pt idx="33">
                  <c:v>421</c:v>
                </c:pt>
                <c:pt idx="34">
                  <c:v>632</c:v>
                </c:pt>
                <c:pt idx="35">
                  <c:v>616</c:v>
                </c:pt>
                <c:pt idx="36">
                  <c:v>745</c:v>
                </c:pt>
                <c:pt idx="37">
                  <c:v>611</c:v>
                </c:pt>
                <c:pt idx="38">
                  <c:v>586</c:v>
                </c:pt>
                <c:pt idx="39">
                  <c:v>522</c:v>
                </c:pt>
                <c:pt idx="40">
                  <c:v>549</c:v>
                </c:pt>
                <c:pt idx="41">
                  <c:v>552</c:v>
                </c:pt>
                <c:pt idx="42">
                  <c:v>473</c:v>
                </c:pt>
                <c:pt idx="43">
                  <c:v>350</c:v>
                </c:pt>
                <c:pt idx="44">
                  <c:v>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1A-415D-8F82-0346BE153663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continous data model (new)'!$AJ$43:$AJ$55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 formatCode="0.00">
                  <c:v>5.2</c:v>
                </c:pt>
              </c:numCache>
            </c:numRef>
          </c:xVal>
          <c:yVal>
            <c:numRef>
              <c:f>'CA - continous data model (new)'!$AK$43:$AK$55</c:f>
              <c:numCache>
                <c:formatCode>General</c:formatCode>
                <c:ptCount val="13"/>
                <c:pt idx="0">
                  <c:v>797.10101304089233</c:v>
                </c:pt>
                <c:pt idx="1">
                  <c:v>715.78660213077342</c:v>
                </c:pt>
                <c:pt idx="2">
                  <c:v>708.37224698043315</c:v>
                </c:pt>
                <c:pt idx="3">
                  <c:v>700.37319925578004</c:v>
                </c:pt>
                <c:pt idx="4">
                  <c:v>691.76026148524079</c:v>
                </c:pt>
                <c:pt idx="5">
                  <c:v>682.50588548850999</c:v>
                </c:pt>
                <c:pt idx="6">
                  <c:v>672.58483746153979</c:v>
                </c:pt>
                <c:pt idx="7">
                  <c:v>661.97492887752924</c:v>
                </c:pt>
                <c:pt idx="8">
                  <c:v>650.65780262563715</c:v>
                </c:pt>
                <c:pt idx="9">
                  <c:v>638.6197588081875</c:v>
                </c:pt>
                <c:pt idx="10">
                  <c:v>625.85259922138914</c:v>
                </c:pt>
                <c:pt idx="11">
                  <c:v>612.35446404883271</c:v>
                </c:pt>
                <c:pt idx="12" formatCode="0.00">
                  <c:v>598.13062909913219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1A-415D-8F82-0346BE153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665504"/>
        <c:axId val="1"/>
      </c:scatterChart>
      <c:valAx>
        <c:axId val="1549665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0001601907599691"/>
              <c:y val="0.845236984756899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6392168508016186E-2"/>
              <c:y val="0.385762228508236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4966550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DL</a:t>
            </a:r>
          </a:p>
        </c:rich>
      </c:tx>
      <c:layout>
        <c:manualLayout>
          <c:xMode val="edge"/>
          <c:yMode val="edge"/>
          <c:x val="0.2995966565503444"/>
          <c:y val="4.102706643265913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694930301921492"/>
          <c:y val="0.20769952381533688"/>
          <c:w val="0.70663487269115721"/>
          <c:h val="0.53848024692865115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continous data model (new)'!$B$25:$B$44,'CA - continous data model (new)'!$B$90:$B$134)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</c:numCache>
            </c:numRef>
          </c:xVal>
          <c:yVal>
            <c:numRef>
              <c:f>('CA - continous data model (new)'!$C$25:$C$44,'CA - continous data model (new)'!$C$90:$C$134)</c:f>
              <c:numCache>
                <c:formatCode>0.00</c:formatCode>
                <c:ptCount val="65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0">
                  <c:v>569</c:v>
                </c:pt>
                <c:pt idx="21">
                  <c:v>617</c:v>
                </c:pt>
                <c:pt idx="22">
                  <c:v>655</c:v>
                </c:pt>
                <c:pt idx="23">
                  <c:v>599</c:v>
                </c:pt>
                <c:pt idx="24">
                  <c:v>607</c:v>
                </c:pt>
                <c:pt idx="25">
                  <c:v>708</c:v>
                </c:pt>
                <c:pt idx="26">
                  <c:v>572</c:v>
                </c:pt>
                <c:pt idx="27">
                  <c:v>547</c:v>
                </c:pt>
                <c:pt idx="28">
                  <c:v>641</c:v>
                </c:pt>
                <c:pt idx="29">
                  <c:v>644</c:v>
                </c:pt>
                <c:pt idx="30">
                  <c:v>578</c:v>
                </c:pt>
                <c:pt idx="31">
                  <c:v>550</c:v>
                </c:pt>
                <c:pt idx="32">
                  <c:v>585</c:v>
                </c:pt>
                <c:pt idx="33">
                  <c:v>421</c:v>
                </c:pt>
                <c:pt idx="34">
                  <c:v>632</c:v>
                </c:pt>
                <c:pt idx="35">
                  <c:v>616</c:v>
                </c:pt>
                <c:pt idx="36">
                  <c:v>745</c:v>
                </c:pt>
                <c:pt idx="37">
                  <c:v>611</c:v>
                </c:pt>
                <c:pt idx="38">
                  <c:v>586</c:v>
                </c:pt>
                <c:pt idx="39">
                  <c:v>522</c:v>
                </c:pt>
                <c:pt idx="40">
                  <c:v>549</c:v>
                </c:pt>
                <c:pt idx="41">
                  <c:v>552</c:v>
                </c:pt>
                <c:pt idx="42">
                  <c:v>473</c:v>
                </c:pt>
                <c:pt idx="43">
                  <c:v>350</c:v>
                </c:pt>
                <c:pt idx="44">
                  <c:v>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08-4225-A91B-79B695AB6E74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continous data model (new)'!$AJ$59:$AJ$71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 formatCode="0.00">
                  <c:v>5.2</c:v>
                </c:pt>
              </c:numCache>
            </c:numRef>
          </c:xVal>
          <c:yVal>
            <c:numRef>
              <c:f>'CA - continous data model (new)'!$AK$59:$AK$71</c:f>
              <c:numCache>
                <c:formatCode>General</c:formatCode>
                <c:ptCount val="13"/>
                <c:pt idx="0">
                  <c:v>806.96924373930676</c:v>
                </c:pt>
                <c:pt idx="1">
                  <c:v>624.41073654415084</c:v>
                </c:pt>
                <c:pt idx="2">
                  <c:v>616.49235404577621</c:v>
                </c:pt>
                <c:pt idx="3">
                  <c:v>608.33977145477922</c:v>
                </c:pt>
                <c:pt idx="4">
                  <c:v>599.95542188117224</c:v>
                </c:pt>
                <c:pt idx="5">
                  <c:v>591.34260488609152</c:v>
                </c:pt>
                <c:pt idx="6">
                  <c:v>582.5055172370694</c:v>
                </c:pt>
                <c:pt idx="7">
                  <c:v>573.44927803319547</c:v>
                </c:pt>
                <c:pt idx="8">
                  <c:v>564.17994746862064</c:v>
                </c:pt>
                <c:pt idx="9">
                  <c:v>554.70453854420248</c:v>
                </c:pt>
                <c:pt idx="10">
                  <c:v>545.03102109687723</c:v>
                </c:pt>
                <c:pt idx="11">
                  <c:v>535.16831759485285</c:v>
                </c:pt>
                <c:pt idx="12" formatCode="0.00">
                  <c:v>525.12629024368175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08-4225-A91B-79B695AB6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652112"/>
        <c:axId val="1"/>
      </c:scatterChart>
      <c:valAx>
        <c:axId val="1549652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0001648886333339"/>
              <c:y val="0.8384906702174711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6117882824903593E-2"/>
              <c:y val="0.3795003645020970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4965211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Independent addition</a:t>
            </a:r>
          </a:p>
        </c:rich>
      </c:tx>
      <c:layout>
        <c:manualLayout>
          <c:xMode val="edge"/>
          <c:yMode val="edge"/>
          <c:x val="0.29451521327997121"/>
          <c:y val="2.7714502898380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539172314505356"/>
          <c:y val="0.11778663731811775"/>
          <c:w val="0.66815391669486002"/>
          <c:h val="0.66283852765293716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(new)'!$C$45:$C$89</c:f>
              <c:numCache>
                <c:formatCode>0.00</c:formatCode>
                <c:ptCount val="45"/>
                <c:pt idx="0">
                  <c:v>861</c:v>
                </c:pt>
                <c:pt idx="1">
                  <c:v>884</c:v>
                </c:pt>
                <c:pt idx="2">
                  <c:v>763</c:v>
                </c:pt>
                <c:pt idx="3">
                  <c:v>822</c:v>
                </c:pt>
                <c:pt idx="4">
                  <c:v>1051</c:v>
                </c:pt>
                <c:pt idx="5">
                  <c:v>937</c:v>
                </c:pt>
                <c:pt idx="6">
                  <c:v>821</c:v>
                </c:pt>
                <c:pt idx="7">
                  <c:v>971</c:v>
                </c:pt>
                <c:pt idx="8">
                  <c:v>861</c:v>
                </c:pt>
                <c:pt idx="9">
                  <c:v>837</c:v>
                </c:pt>
                <c:pt idx="10">
                  <c:v>169</c:v>
                </c:pt>
                <c:pt idx="11">
                  <c:v>73</c:v>
                </c:pt>
                <c:pt idx="12">
                  <c:v>133</c:v>
                </c:pt>
                <c:pt idx="13">
                  <c:v>101</c:v>
                </c:pt>
                <c:pt idx="14">
                  <c:v>324</c:v>
                </c:pt>
                <c:pt idx="15">
                  <c:v>23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xVal>
          <c:yVal>
            <c:numRef>
              <c:f>'IA - continous data model (new)'!$E$45:$E$89</c:f>
              <c:numCache>
                <c:formatCode>0.00</c:formatCode>
                <c:ptCount val="45"/>
                <c:pt idx="0">
                  <c:v>793.61129812830404</c:v>
                </c:pt>
                <c:pt idx="1">
                  <c:v>793.61129812830404</c:v>
                </c:pt>
                <c:pt idx="2">
                  <c:v>793.61129812830404</c:v>
                </c:pt>
                <c:pt idx="3">
                  <c:v>793.61129812830404</c:v>
                </c:pt>
                <c:pt idx="4">
                  <c:v>793.61129812830404</c:v>
                </c:pt>
                <c:pt idx="5">
                  <c:v>767.3096400358022</c:v>
                </c:pt>
                <c:pt idx="6">
                  <c:v>767.3096400358022</c:v>
                </c:pt>
                <c:pt idx="7">
                  <c:v>767.3096400358022</c:v>
                </c:pt>
                <c:pt idx="8">
                  <c:v>767.3096400358022</c:v>
                </c:pt>
                <c:pt idx="9">
                  <c:v>767.3096400358022</c:v>
                </c:pt>
                <c:pt idx="10">
                  <c:v>195.35461409905332</c:v>
                </c:pt>
                <c:pt idx="11">
                  <c:v>195.35461409905332</c:v>
                </c:pt>
                <c:pt idx="12">
                  <c:v>195.35461409905332</c:v>
                </c:pt>
                <c:pt idx="13">
                  <c:v>195.35461409905332</c:v>
                </c:pt>
                <c:pt idx="14">
                  <c:v>195.35461409905332</c:v>
                </c:pt>
                <c:pt idx="15">
                  <c:v>2.9222937489652767</c:v>
                </c:pt>
                <c:pt idx="16">
                  <c:v>2.9222937489652767</c:v>
                </c:pt>
                <c:pt idx="17">
                  <c:v>2.9222937489652767</c:v>
                </c:pt>
                <c:pt idx="18">
                  <c:v>2.9222937489652767</c:v>
                </c:pt>
                <c:pt idx="19">
                  <c:v>2.9222937489652767</c:v>
                </c:pt>
                <c:pt idx="20">
                  <c:v>3.3200475099985992E-2</c:v>
                </c:pt>
                <c:pt idx="21">
                  <c:v>3.3200475099985992E-2</c:v>
                </c:pt>
                <c:pt idx="22">
                  <c:v>3.3200475099985992E-2</c:v>
                </c:pt>
                <c:pt idx="23">
                  <c:v>3.3200475099985992E-2</c:v>
                </c:pt>
                <c:pt idx="24">
                  <c:v>3.3200475099985992E-2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80-47E8-A8D9-ED790AEB06D3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(new)'!$C$90:$C$134</c:f>
              <c:numCache>
                <c:formatCode>0.00</c:formatCode>
                <c:ptCount val="45"/>
                <c:pt idx="0">
                  <c:v>569</c:v>
                </c:pt>
                <c:pt idx="1">
                  <c:v>617</c:v>
                </c:pt>
                <c:pt idx="2">
                  <c:v>655</c:v>
                </c:pt>
                <c:pt idx="3">
                  <c:v>599</c:v>
                </c:pt>
                <c:pt idx="4">
                  <c:v>607</c:v>
                </c:pt>
                <c:pt idx="5">
                  <c:v>708</c:v>
                </c:pt>
                <c:pt idx="6">
                  <c:v>572</c:v>
                </c:pt>
                <c:pt idx="7">
                  <c:v>547</c:v>
                </c:pt>
                <c:pt idx="8">
                  <c:v>641</c:v>
                </c:pt>
                <c:pt idx="9">
                  <c:v>644</c:v>
                </c:pt>
                <c:pt idx="10">
                  <c:v>578</c:v>
                </c:pt>
                <c:pt idx="11">
                  <c:v>550</c:v>
                </c:pt>
                <c:pt idx="12">
                  <c:v>585</c:v>
                </c:pt>
                <c:pt idx="13">
                  <c:v>421</c:v>
                </c:pt>
                <c:pt idx="14">
                  <c:v>632</c:v>
                </c:pt>
                <c:pt idx="15">
                  <c:v>616</c:v>
                </c:pt>
                <c:pt idx="16">
                  <c:v>745</c:v>
                </c:pt>
                <c:pt idx="17">
                  <c:v>611</c:v>
                </c:pt>
                <c:pt idx="18">
                  <c:v>586</c:v>
                </c:pt>
                <c:pt idx="19">
                  <c:v>522</c:v>
                </c:pt>
                <c:pt idx="20">
                  <c:v>549</c:v>
                </c:pt>
                <c:pt idx="21">
                  <c:v>552</c:v>
                </c:pt>
                <c:pt idx="22">
                  <c:v>473</c:v>
                </c:pt>
                <c:pt idx="23">
                  <c:v>350</c:v>
                </c:pt>
                <c:pt idx="24">
                  <c:v>626</c:v>
                </c:pt>
              </c:numCache>
            </c:numRef>
          </c:xVal>
          <c:yVal>
            <c:numRef>
              <c:f>'IA - continous data model (new)'!$E$90:$E$134</c:f>
              <c:numCache>
                <c:formatCode>0.00</c:formatCode>
                <c:ptCount val="45"/>
                <c:pt idx="0">
                  <c:v>715.88853002166036</c:v>
                </c:pt>
                <c:pt idx="1">
                  <c:v>715.88853002166036</c:v>
                </c:pt>
                <c:pt idx="2">
                  <c:v>715.88853002166036</c:v>
                </c:pt>
                <c:pt idx="3">
                  <c:v>715.88853002166036</c:v>
                </c:pt>
                <c:pt idx="4">
                  <c:v>715.88853002166036</c:v>
                </c:pt>
                <c:pt idx="5">
                  <c:v>692.94485304860382</c:v>
                </c:pt>
                <c:pt idx="6">
                  <c:v>692.94485304860382</c:v>
                </c:pt>
                <c:pt idx="7">
                  <c:v>692.94485304860382</c:v>
                </c:pt>
                <c:pt idx="8">
                  <c:v>692.94485304860382</c:v>
                </c:pt>
                <c:pt idx="9">
                  <c:v>692.94485304860382</c:v>
                </c:pt>
                <c:pt idx="10">
                  <c:v>664.47507353247033</c:v>
                </c:pt>
                <c:pt idx="11">
                  <c:v>664.47507353247033</c:v>
                </c:pt>
                <c:pt idx="12">
                  <c:v>664.47507353247033</c:v>
                </c:pt>
                <c:pt idx="13">
                  <c:v>664.47507353247033</c:v>
                </c:pt>
                <c:pt idx="14">
                  <c:v>664.47507353247033</c:v>
                </c:pt>
                <c:pt idx="15">
                  <c:v>629.8787324719201</c:v>
                </c:pt>
                <c:pt idx="16">
                  <c:v>629.8787324719201</c:v>
                </c:pt>
                <c:pt idx="17">
                  <c:v>629.8787324719201</c:v>
                </c:pt>
                <c:pt idx="18">
                  <c:v>629.8787324719201</c:v>
                </c:pt>
                <c:pt idx="19">
                  <c:v>629.8787324719201</c:v>
                </c:pt>
                <c:pt idx="20">
                  <c:v>588.88920923480157</c:v>
                </c:pt>
                <c:pt idx="21">
                  <c:v>588.88920923480157</c:v>
                </c:pt>
                <c:pt idx="22">
                  <c:v>588.88920923480157</c:v>
                </c:pt>
                <c:pt idx="23">
                  <c:v>588.88920923480157</c:v>
                </c:pt>
                <c:pt idx="24">
                  <c:v>588.88920923480157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80-47E8-A8D9-ED790AEB06D3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(new)'!$C$135:$C$224</c:f>
              <c:numCache>
                <c:formatCode>0.00</c:formatCode>
                <c:ptCount val="90"/>
                <c:pt idx="0">
                  <c:v>820</c:v>
                </c:pt>
                <c:pt idx="1">
                  <c:v>843</c:v>
                </c:pt>
                <c:pt idx="2">
                  <c:v>888</c:v>
                </c:pt>
                <c:pt idx="3">
                  <c:v>820</c:v>
                </c:pt>
                <c:pt idx="4">
                  <c:v>811</c:v>
                </c:pt>
                <c:pt idx="5">
                  <c:v>886</c:v>
                </c:pt>
                <c:pt idx="6">
                  <c:v>832</c:v>
                </c:pt>
                <c:pt idx="7">
                  <c:v>762</c:v>
                </c:pt>
                <c:pt idx="8">
                  <c:v>821</c:v>
                </c:pt>
                <c:pt idx="9">
                  <c:v>788</c:v>
                </c:pt>
                <c:pt idx="10">
                  <c:v>749</c:v>
                </c:pt>
                <c:pt idx="11">
                  <c:v>785</c:v>
                </c:pt>
                <c:pt idx="12">
                  <c:v>823</c:v>
                </c:pt>
                <c:pt idx="13">
                  <c:v>717</c:v>
                </c:pt>
                <c:pt idx="14">
                  <c:v>721</c:v>
                </c:pt>
                <c:pt idx="15">
                  <c:v>636</c:v>
                </c:pt>
                <c:pt idx="16">
                  <c:v>951</c:v>
                </c:pt>
                <c:pt idx="17">
                  <c:v>568</c:v>
                </c:pt>
                <c:pt idx="18">
                  <c:v>904</c:v>
                </c:pt>
                <c:pt idx="19">
                  <c:v>907</c:v>
                </c:pt>
                <c:pt idx="20">
                  <c:v>287</c:v>
                </c:pt>
                <c:pt idx="21">
                  <c:v>347</c:v>
                </c:pt>
                <c:pt idx="22">
                  <c:v>387</c:v>
                </c:pt>
                <c:pt idx="23">
                  <c:v>187</c:v>
                </c:pt>
                <c:pt idx="24">
                  <c:v>187</c:v>
                </c:pt>
                <c:pt idx="25">
                  <c:v>789</c:v>
                </c:pt>
                <c:pt idx="26">
                  <c:v>765</c:v>
                </c:pt>
                <c:pt idx="27">
                  <c:v>559</c:v>
                </c:pt>
                <c:pt idx="28">
                  <c:v>801</c:v>
                </c:pt>
                <c:pt idx="29">
                  <c:v>700</c:v>
                </c:pt>
                <c:pt idx="30">
                  <c:v>739</c:v>
                </c:pt>
                <c:pt idx="31">
                  <c:v>669</c:v>
                </c:pt>
                <c:pt idx="32">
                  <c:v>732</c:v>
                </c:pt>
                <c:pt idx="33">
                  <c:v>774</c:v>
                </c:pt>
                <c:pt idx="34">
                  <c:v>665</c:v>
                </c:pt>
                <c:pt idx="35">
                  <c:v>483</c:v>
                </c:pt>
                <c:pt idx="36">
                  <c:v>434</c:v>
                </c:pt>
                <c:pt idx="37">
                  <c:v>337</c:v>
                </c:pt>
                <c:pt idx="38">
                  <c:v>360</c:v>
                </c:pt>
                <c:pt idx="39">
                  <c:v>357</c:v>
                </c:pt>
                <c:pt idx="40">
                  <c:v>4</c:v>
                </c:pt>
                <c:pt idx="41">
                  <c:v>85</c:v>
                </c:pt>
                <c:pt idx="42">
                  <c:v>3</c:v>
                </c:pt>
                <c:pt idx="43">
                  <c:v>22</c:v>
                </c:pt>
                <c:pt idx="44">
                  <c:v>55</c:v>
                </c:pt>
                <c:pt idx="45">
                  <c:v>0</c:v>
                </c:pt>
                <c:pt idx="46">
                  <c:v>0</c:v>
                </c:pt>
                <c:pt idx="47">
                  <c:v>65</c:v>
                </c:pt>
                <c:pt idx="48">
                  <c:v>0</c:v>
                </c:pt>
                <c:pt idx="49">
                  <c:v>0</c:v>
                </c:pt>
                <c:pt idx="50">
                  <c:v>749</c:v>
                </c:pt>
                <c:pt idx="51">
                  <c:v>703</c:v>
                </c:pt>
                <c:pt idx="52">
                  <c:v>699</c:v>
                </c:pt>
                <c:pt idx="53">
                  <c:v>830</c:v>
                </c:pt>
                <c:pt idx="54">
                  <c:v>662</c:v>
                </c:pt>
                <c:pt idx="55">
                  <c:v>710</c:v>
                </c:pt>
                <c:pt idx="56">
                  <c:v>668</c:v>
                </c:pt>
                <c:pt idx="57">
                  <c:v>593</c:v>
                </c:pt>
                <c:pt idx="58">
                  <c:v>732</c:v>
                </c:pt>
                <c:pt idx="59">
                  <c:v>830</c:v>
                </c:pt>
                <c:pt idx="60">
                  <c:v>690</c:v>
                </c:pt>
                <c:pt idx="61">
                  <c:v>610</c:v>
                </c:pt>
                <c:pt idx="62">
                  <c:v>699</c:v>
                </c:pt>
                <c:pt idx="63">
                  <c:v>670</c:v>
                </c:pt>
                <c:pt idx="64">
                  <c:v>561</c:v>
                </c:pt>
                <c:pt idx="65">
                  <c:v>183</c:v>
                </c:pt>
                <c:pt idx="66">
                  <c:v>100</c:v>
                </c:pt>
                <c:pt idx="67">
                  <c:v>198</c:v>
                </c:pt>
                <c:pt idx="68">
                  <c:v>208</c:v>
                </c:pt>
                <c:pt idx="69">
                  <c:v>65</c:v>
                </c:pt>
                <c:pt idx="70">
                  <c:v>4</c:v>
                </c:pt>
                <c:pt idx="71">
                  <c:v>4</c:v>
                </c:pt>
                <c:pt idx="72">
                  <c:v>8</c:v>
                </c:pt>
                <c:pt idx="73">
                  <c:v>3</c:v>
                </c:pt>
                <c:pt idx="74">
                  <c:v>5</c:v>
                </c:pt>
              </c:numCache>
            </c:numRef>
          </c:xVal>
          <c:yVal>
            <c:numRef>
              <c:f>'IA - continous data model (new)'!$E$135:$E$224</c:f>
              <c:numCache>
                <c:formatCode>0.00</c:formatCode>
                <c:ptCount val="90"/>
                <c:pt idx="0">
                  <c:v>723.96640592865049</c:v>
                </c:pt>
                <c:pt idx="1">
                  <c:v>723.96640592865049</c:v>
                </c:pt>
                <c:pt idx="2">
                  <c:v>723.96640592865049</c:v>
                </c:pt>
                <c:pt idx="3">
                  <c:v>723.96640592865049</c:v>
                </c:pt>
                <c:pt idx="4">
                  <c:v>723.96640592865049</c:v>
                </c:pt>
                <c:pt idx="5">
                  <c:v>703.09337984279512</c:v>
                </c:pt>
                <c:pt idx="6">
                  <c:v>703.09337984279512</c:v>
                </c:pt>
                <c:pt idx="7">
                  <c:v>703.09337984279512</c:v>
                </c:pt>
                <c:pt idx="8">
                  <c:v>703.09337984279512</c:v>
                </c:pt>
                <c:pt idx="9">
                  <c:v>703.09337984279512</c:v>
                </c:pt>
                <c:pt idx="10">
                  <c:v>676.74027136093105</c:v>
                </c:pt>
                <c:pt idx="11">
                  <c:v>676.74027136093105</c:v>
                </c:pt>
                <c:pt idx="12">
                  <c:v>676.74027136093105</c:v>
                </c:pt>
                <c:pt idx="13">
                  <c:v>676.74027136093105</c:v>
                </c:pt>
                <c:pt idx="14">
                  <c:v>676.74027136093105</c:v>
                </c:pt>
                <c:pt idx="15">
                  <c:v>623.38666147157915</c:v>
                </c:pt>
                <c:pt idx="16">
                  <c:v>623.38666147157915</c:v>
                </c:pt>
                <c:pt idx="17">
                  <c:v>623.38666147157915</c:v>
                </c:pt>
                <c:pt idx="18">
                  <c:v>623.38666147157915</c:v>
                </c:pt>
                <c:pt idx="19">
                  <c:v>623.38666147157915</c:v>
                </c:pt>
                <c:pt idx="20">
                  <c:v>149.27997183689237</c:v>
                </c:pt>
                <c:pt idx="21">
                  <c:v>149.27997183689237</c:v>
                </c:pt>
                <c:pt idx="22">
                  <c:v>149.27997183689237</c:v>
                </c:pt>
                <c:pt idx="23">
                  <c:v>149.27997183689237</c:v>
                </c:pt>
                <c:pt idx="24">
                  <c:v>149.27997183689237</c:v>
                </c:pt>
                <c:pt idx="25">
                  <c:v>748.23862830897463</c:v>
                </c:pt>
                <c:pt idx="26">
                  <c:v>748.23862830897463</c:v>
                </c:pt>
                <c:pt idx="27">
                  <c:v>748.23862830897463</c:v>
                </c:pt>
                <c:pt idx="28">
                  <c:v>748.23862830897463</c:v>
                </c:pt>
                <c:pt idx="29">
                  <c:v>748.23862830897463</c:v>
                </c:pt>
                <c:pt idx="30">
                  <c:v>730.1266487720842</c:v>
                </c:pt>
                <c:pt idx="31">
                  <c:v>730.1266487720842</c:v>
                </c:pt>
                <c:pt idx="32">
                  <c:v>730.1266487720842</c:v>
                </c:pt>
                <c:pt idx="33">
                  <c:v>730.1266487720842</c:v>
                </c:pt>
                <c:pt idx="34">
                  <c:v>730.1266487720842</c:v>
                </c:pt>
                <c:pt idx="35">
                  <c:v>484.67615432497416</c:v>
                </c:pt>
                <c:pt idx="36">
                  <c:v>484.67615432497416</c:v>
                </c:pt>
                <c:pt idx="37">
                  <c:v>484.67615432497416</c:v>
                </c:pt>
                <c:pt idx="38">
                  <c:v>484.67615432497416</c:v>
                </c:pt>
                <c:pt idx="39">
                  <c:v>484.67615432497416</c:v>
                </c:pt>
                <c:pt idx="40">
                  <c:v>16.061694617565902</c:v>
                </c:pt>
                <c:pt idx="41">
                  <c:v>16.061694617565902</c:v>
                </c:pt>
                <c:pt idx="42">
                  <c:v>16.061694617565902</c:v>
                </c:pt>
                <c:pt idx="43">
                  <c:v>16.061694617565902</c:v>
                </c:pt>
                <c:pt idx="44">
                  <c:v>16.061694617565902</c:v>
                </c:pt>
                <c:pt idx="45">
                  <c:v>0.17843366263878022</c:v>
                </c:pt>
                <c:pt idx="46">
                  <c:v>0.17843366263878022</c:v>
                </c:pt>
                <c:pt idx="47">
                  <c:v>0.17843366263878022</c:v>
                </c:pt>
                <c:pt idx="48">
                  <c:v>0.17843366263878022</c:v>
                </c:pt>
                <c:pt idx="49">
                  <c:v>0.17843366263878022</c:v>
                </c:pt>
                <c:pt idx="50">
                  <c:v>734.06609517044262</c:v>
                </c:pt>
                <c:pt idx="51">
                  <c:v>734.06609517044262</c:v>
                </c:pt>
                <c:pt idx="52">
                  <c:v>734.06609517044262</c:v>
                </c:pt>
                <c:pt idx="53">
                  <c:v>734.06609517044262</c:v>
                </c:pt>
                <c:pt idx="54">
                  <c:v>734.06609517044262</c:v>
                </c:pt>
                <c:pt idx="55">
                  <c:v>715.60757351116069</c:v>
                </c:pt>
                <c:pt idx="56">
                  <c:v>715.60757351116069</c:v>
                </c:pt>
                <c:pt idx="57">
                  <c:v>715.60757351116069</c:v>
                </c:pt>
                <c:pt idx="58">
                  <c:v>715.60757351116069</c:v>
                </c:pt>
                <c:pt idx="59">
                  <c:v>715.60757351116069</c:v>
                </c:pt>
                <c:pt idx="60">
                  <c:v>669.71651684607116</c:v>
                </c:pt>
                <c:pt idx="61">
                  <c:v>669.71651684607116</c:v>
                </c:pt>
                <c:pt idx="62">
                  <c:v>669.71651684607116</c:v>
                </c:pt>
                <c:pt idx="63">
                  <c:v>669.71651684607116</c:v>
                </c:pt>
                <c:pt idx="64">
                  <c:v>669.71651684607116</c:v>
                </c:pt>
                <c:pt idx="65">
                  <c:v>163.50236888003144</c:v>
                </c:pt>
                <c:pt idx="66">
                  <c:v>163.50236888003144</c:v>
                </c:pt>
                <c:pt idx="67">
                  <c:v>163.50236888003144</c:v>
                </c:pt>
                <c:pt idx="68">
                  <c:v>163.50236888003144</c:v>
                </c:pt>
                <c:pt idx="69">
                  <c:v>163.50236888003144</c:v>
                </c:pt>
                <c:pt idx="70">
                  <c:v>2.3184754201666844</c:v>
                </c:pt>
                <c:pt idx="71">
                  <c:v>2.3184754201666844</c:v>
                </c:pt>
                <c:pt idx="72">
                  <c:v>2.3184754201666844</c:v>
                </c:pt>
                <c:pt idx="73">
                  <c:v>2.3184754201666844</c:v>
                </c:pt>
                <c:pt idx="74">
                  <c:v>2.3184754201666844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C80-47E8-A8D9-ED790AEB06D3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'IA - continous data model (new)'!$S$2:$S$3</c:f>
              <c:numCache>
                <c:formatCode>0.00</c:formatCode>
                <c:ptCount val="2"/>
                <c:pt idx="0">
                  <c:v>0</c:v>
                </c:pt>
                <c:pt idx="1">
                  <c:v>1051</c:v>
                </c:pt>
              </c:numCache>
            </c:numRef>
          </c:xVal>
          <c:yVal>
            <c:numRef>
              <c:f>'IA - continous data model (new)'!$S$2:$S$3</c:f>
              <c:numCache>
                <c:formatCode>0.00</c:formatCode>
                <c:ptCount val="2"/>
                <c:pt idx="0">
                  <c:v>0</c:v>
                </c:pt>
                <c:pt idx="1">
                  <c:v>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C80-47E8-A8D9-ED790AEB0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874752"/>
        <c:axId val="1"/>
      </c:scatterChart>
      <c:valAx>
        <c:axId val="1546874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49671968806920513"/>
              <c:y val="0.884554550839982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4.1759619793428751E-2"/>
              <c:y val="0.378764872944535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4687475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79782852552708616"/>
          <c:y val="0.57738547704959686"/>
          <c:w val="0.18242360225550455"/>
          <c:h val="0.1755251850230774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IA to the complete data set</a:t>
            </a:r>
          </a:p>
        </c:rich>
      </c:tx>
      <c:layout>
        <c:manualLayout>
          <c:xMode val="edge"/>
          <c:yMode val="edge"/>
          <c:x val="0.16042165414103668"/>
          <c:y val="3.72106122013288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20911707930576"/>
          <c:y val="0.27907959150996642"/>
          <c:w val="0.66877079193860745"/>
          <c:h val="0.46745831577919372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(new)'!$E$227:$E$316</c:f>
              <c:numCache>
                <c:formatCode>General</c:formatCode>
                <c:ptCount val="90"/>
                <c:pt idx="0">
                  <c:v>7.809440367336988E-2</c:v>
                </c:pt>
                <c:pt idx="1">
                  <c:v>7.809440367336988E-2</c:v>
                </c:pt>
                <c:pt idx="2">
                  <c:v>7.809440367336988E-2</c:v>
                </c:pt>
                <c:pt idx="3">
                  <c:v>7.809440367336988E-2</c:v>
                </c:pt>
                <c:pt idx="4">
                  <c:v>7.809440367336988E-2</c:v>
                </c:pt>
                <c:pt idx="5">
                  <c:v>0.15618880734673976</c:v>
                </c:pt>
                <c:pt idx="6">
                  <c:v>0.15618880734673976</c:v>
                </c:pt>
                <c:pt idx="7">
                  <c:v>0.15618880734673976</c:v>
                </c:pt>
                <c:pt idx="8">
                  <c:v>0.15618880734673976</c:v>
                </c:pt>
                <c:pt idx="9">
                  <c:v>0.15618880734673976</c:v>
                </c:pt>
                <c:pt idx="10">
                  <c:v>0.31237761469347952</c:v>
                </c:pt>
                <c:pt idx="11">
                  <c:v>0.31237761469347952</c:v>
                </c:pt>
                <c:pt idx="12">
                  <c:v>0.31237761469347952</c:v>
                </c:pt>
                <c:pt idx="13">
                  <c:v>0.31237761469347952</c:v>
                </c:pt>
                <c:pt idx="14">
                  <c:v>0.31237761469347952</c:v>
                </c:pt>
                <c:pt idx="15">
                  <c:v>0.62475522938695904</c:v>
                </c:pt>
                <c:pt idx="16">
                  <c:v>0.62475522938695904</c:v>
                </c:pt>
                <c:pt idx="17">
                  <c:v>0.62475522938695904</c:v>
                </c:pt>
                <c:pt idx="18">
                  <c:v>0.62475522938695904</c:v>
                </c:pt>
                <c:pt idx="19">
                  <c:v>0.62475522938695904</c:v>
                </c:pt>
                <c:pt idx="20">
                  <c:v>1.2495104587739181</c:v>
                </c:pt>
                <c:pt idx="21">
                  <c:v>1.2495104587739181</c:v>
                </c:pt>
                <c:pt idx="22">
                  <c:v>1.2495104587739181</c:v>
                </c:pt>
                <c:pt idx="23">
                  <c:v>1.2495104587739181</c:v>
                </c:pt>
                <c:pt idx="24">
                  <c:v>1.2495104587739181</c:v>
                </c:pt>
                <c:pt idx="25">
                  <c:v>0.22421495612813516</c:v>
                </c:pt>
                <c:pt idx="26">
                  <c:v>0.22421495612813516</c:v>
                </c:pt>
                <c:pt idx="27">
                  <c:v>0.22421495612813516</c:v>
                </c:pt>
                <c:pt idx="28">
                  <c:v>0.22421495612813516</c:v>
                </c:pt>
                <c:pt idx="29">
                  <c:v>0.22421495612813516</c:v>
                </c:pt>
                <c:pt idx="30">
                  <c:v>0.44842991225627032</c:v>
                </c:pt>
                <c:pt idx="31">
                  <c:v>0.44842991225627032</c:v>
                </c:pt>
                <c:pt idx="32">
                  <c:v>0.44842991225627032</c:v>
                </c:pt>
                <c:pt idx="33">
                  <c:v>0.44842991225627032</c:v>
                </c:pt>
                <c:pt idx="34">
                  <c:v>0.44842991225627032</c:v>
                </c:pt>
                <c:pt idx="35">
                  <c:v>0.89685982451254065</c:v>
                </c:pt>
                <c:pt idx="36">
                  <c:v>0.89685982451254065</c:v>
                </c:pt>
                <c:pt idx="37">
                  <c:v>0.89685982451254065</c:v>
                </c:pt>
                <c:pt idx="38">
                  <c:v>0.89685982451254065</c:v>
                </c:pt>
                <c:pt idx="39">
                  <c:v>0.89685982451254065</c:v>
                </c:pt>
                <c:pt idx="40">
                  <c:v>1.7937196490250813</c:v>
                </c:pt>
                <c:pt idx="41">
                  <c:v>1.7937196490250813</c:v>
                </c:pt>
                <c:pt idx="42">
                  <c:v>1.7937196490250813</c:v>
                </c:pt>
                <c:pt idx="43">
                  <c:v>1.7937196490250813</c:v>
                </c:pt>
                <c:pt idx="44">
                  <c:v>1.7937196490250813</c:v>
                </c:pt>
                <c:pt idx="45">
                  <c:v>3.5874392980501626</c:v>
                </c:pt>
                <c:pt idx="46">
                  <c:v>3.5874392980501626</c:v>
                </c:pt>
                <c:pt idx="47">
                  <c:v>3.5874392980501626</c:v>
                </c:pt>
                <c:pt idx="48">
                  <c:v>3.5874392980501626</c:v>
                </c:pt>
                <c:pt idx="49">
                  <c:v>3.5874392980501626</c:v>
                </c:pt>
                <c:pt idx="50">
                  <c:v>0.15115467990075254</c:v>
                </c:pt>
                <c:pt idx="51">
                  <c:v>0.15115467990075254</c:v>
                </c:pt>
                <c:pt idx="52">
                  <c:v>0.15115467990075254</c:v>
                </c:pt>
                <c:pt idx="53">
                  <c:v>0.15115467990075254</c:v>
                </c:pt>
                <c:pt idx="54">
                  <c:v>0.15115467990075254</c:v>
                </c:pt>
                <c:pt idx="55">
                  <c:v>0.30230935980150508</c:v>
                </c:pt>
                <c:pt idx="56">
                  <c:v>0.30230935980150508</c:v>
                </c:pt>
                <c:pt idx="57">
                  <c:v>0.30230935980150508</c:v>
                </c:pt>
                <c:pt idx="58">
                  <c:v>0.30230935980150508</c:v>
                </c:pt>
                <c:pt idx="59">
                  <c:v>0.30230935980150508</c:v>
                </c:pt>
                <c:pt idx="60">
                  <c:v>0.60461871960301017</c:v>
                </c:pt>
                <c:pt idx="61">
                  <c:v>0.60461871960301017</c:v>
                </c:pt>
                <c:pt idx="62">
                  <c:v>0.60461871960301017</c:v>
                </c:pt>
                <c:pt idx="63">
                  <c:v>0.60461871960301017</c:v>
                </c:pt>
                <c:pt idx="64">
                  <c:v>0.60461871960301017</c:v>
                </c:pt>
                <c:pt idx="65">
                  <c:v>1.2092374392060203</c:v>
                </c:pt>
                <c:pt idx="66">
                  <c:v>1.2092374392060203</c:v>
                </c:pt>
                <c:pt idx="67">
                  <c:v>1.2092374392060203</c:v>
                </c:pt>
                <c:pt idx="68">
                  <c:v>1.2092374392060203</c:v>
                </c:pt>
                <c:pt idx="69">
                  <c:v>1.2092374392060203</c:v>
                </c:pt>
                <c:pt idx="70">
                  <c:v>2.4184748784120407</c:v>
                </c:pt>
                <c:pt idx="71">
                  <c:v>2.4184748784120407</c:v>
                </c:pt>
                <c:pt idx="72">
                  <c:v>2.4184748784120407</c:v>
                </c:pt>
                <c:pt idx="73">
                  <c:v>2.4184748784120407</c:v>
                </c:pt>
                <c:pt idx="74">
                  <c:v>2.4184748784120407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'IA - continous data model (new)'!$F$227:$F$316</c:f>
              <c:numCache>
                <c:formatCode>0.00</c:formatCode>
                <c:ptCount val="90"/>
                <c:pt idx="0">
                  <c:v>96.033594071349512</c:v>
                </c:pt>
                <c:pt idx="1">
                  <c:v>119.03359407134951</c:v>
                </c:pt>
                <c:pt idx="2">
                  <c:v>164.03359407134951</c:v>
                </c:pt>
                <c:pt idx="3">
                  <c:v>96.033594071349512</c:v>
                </c:pt>
                <c:pt idx="4">
                  <c:v>87.033594071349512</c:v>
                </c:pt>
                <c:pt idx="5">
                  <c:v>182.90662015720488</c:v>
                </c:pt>
                <c:pt idx="6">
                  <c:v>128.90662015720488</c:v>
                </c:pt>
                <c:pt idx="7">
                  <c:v>58.906620157204884</c:v>
                </c:pt>
                <c:pt idx="8">
                  <c:v>117.90662015720488</c:v>
                </c:pt>
                <c:pt idx="9">
                  <c:v>84.906620157204884</c:v>
                </c:pt>
                <c:pt idx="10">
                  <c:v>72.259728639068953</c:v>
                </c:pt>
                <c:pt idx="11">
                  <c:v>108.25972863906895</c:v>
                </c:pt>
                <c:pt idx="12">
                  <c:v>146.25972863906895</c:v>
                </c:pt>
                <c:pt idx="13">
                  <c:v>40.259728639068953</c:v>
                </c:pt>
                <c:pt idx="14">
                  <c:v>44.259728639068953</c:v>
                </c:pt>
                <c:pt idx="15">
                  <c:v>12.613338528420854</c:v>
                </c:pt>
                <c:pt idx="16">
                  <c:v>327.61333852842085</c:v>
                </c:pt>
                <c:pt idx="17">
                  <c:v>-55.386661471579146</c:v>
                </c:pt>
                <c:pt idx="18">
                  <c:v>280.61333852842085</c:v>
                </c:pt>
                <c:pt idx="19">
                  <c:v>283.61333852842085</c:v>
                </c:pt>
                <c:pt idx="20">
                  <c:v>137.72002816310763</c:v>
                </c:pt>
                <c:pt idx="21">
                  <c:v>197.72002816310763</c:v>
                </c:pt>
                <c:pt idx="22">
                  <c:v>237.72002816310763</c:v>
                </c:pt>
                <c:pt idx="23">
                  <c:v>37.720028163107628</c:v>
                </c:pt>
                <c:pt idx="24">
                  <c:v>37.720028163107628</c:v>
                </c:pt>
                <c:pt idx="25">
                  <c:v>40.761371691025374</c:v>
                </c:pt>
                <c:pt idx="26">
                  <c:v>16.761371691025374</c:v>
                </c:pt>
                <c:pt idx="27">
                  <c:v>-189.23862830897463</c:v>
                </c:pt>
                <c:pt idx="28">
                  <c:v>52.761371691025374</c:v>
                </c:pt>
                <c:pt idx="29">
                  <c:v>-48.238628308974626</c:v>
                </c:pt>
                <c:pt idx="30">
                  <c:v>8.8733512279158049</c:v>
                </c:pt>
                <c:pt idx="31">
                  <c:v>-61.126648772084195</c:v>
                </c:pt>
                <c:pt idx="32">
                  <c:v>1.8733512279158049</c:v>
                </c:pt>
                <c:pt idx="33">
                  <c:v>43.873351227915805</c:v>
                </c:pt>
                <c:pt idx="34">
                  <c:v>-65.126648772084195</c:v>
                </c:pt>
                <c:pt idx="35">
                  <c:v>-1.6761543249741635</c:v>
                </c:pt>
                <c:pt idx="36">
                  <c:v>-50.676154324974164</c:v>
                </c:pt>
                <c:pt idx="37">
                  <c:v>-147.67615432497416</c:v>
                </c:pt>
                <c:pt idx="38">
                  <c:v>-124.67615432497416</c:v>
                </c:pt>
                <c:pt idx="39">
                  <c:v>-127.67615432497416</c:v>
                </c:pt>
                <c:pt idx="40">
                  <c:v>-12.061694617565902</c:v>
                </c:pt>
                <c:pt idx="41">
                  <c:v>68.938305382434095</c:v>
                </c:pt>
                <c:pt idx="42">
                  <c:v>-13.061694617565902</c:v>
                </c:pt>
                <c:pt idx="43">
                  <c:v>5.9383053824340983</c:v>
                </c:pt>
                <c:pt idx="44">
                  <c:v>38.938305382434095</c:v>
                </c:pt>
                <c:pt idx="45">
                  <c:v>-0.17843366263878022</c:v>
                </c:pt>
                <c:pt idx="46">
                  <c:v>-0.17843366263878022</c:v>
                </c:pt>
                <c:pt idx="47">
                  <c:v>64.821566337361219</c:v>
                </c:pt>
                <c:pt idx="48">
                  <c:v>-0.17843366263878022</c:v>
                </c:pt>
                <c:pt idx="49">
                  <c:v>-0.17843366263878022</c:v>
                </c:pt>
                <c:pt idx="50">
                  <c:v>14.933904829557378</c:v>
                </c:pt>
                <c:pt idx="51">
                  <c:v>-31.066095170442622</c:v>
                </c:pt>
                <c:pt idx="52">
                  <c:v>-35.066095170442622</c:v>
                </c:pt>
                <c:pt idx="53">
                  <c:v>95.933904829557378</c:v>
                </c:pt>
                <c:pt idx="54">
                  <c:v>-72.066095170442622</c:v>
                </c:pt>
                <c:pt idx="55">
                  <c:v>-5.6075735111606946</c:v>
                </c:pt>
                <c:pt idx="56">
                  <c:v>-47.607573511160695</c:v>
                </c:pt>
                <c:pt idx="57">
                  <c:v>-122.60757351116069</c:v>
                </c:pt>
                <c:pt idx="58">
                  <c:v>16.392426488839305</c:v>
                </c:pt>
                <c:pt idx="59">
                  <c:v>114.39242648883931</c:v>
                </c:pt>
                <c:pt idx="60">
                  <c:v>20.283483153928842</c:v>
                </c:pt>
                <c:pt idx="61">
                  <c:v>-59.716516846071158</c:v>
                </c:pt>
                <c:pt idx="62">
                  <c:v>29.283483153928842</c:v>
                </c:pt>
                <c:pt idx="63">
                  <c:v>0.2834831539288416</c:v>
                </c:pt>
                <c:pt idx="64">
                  <c:v>-108.71651684607116</c:v>
                </c:pt>
                <c:pt idx="65">
                  <c:v>19.49763111996856</c:v>
                </c:pt>
                <c:pt idx="66">
                  <c:v>-63.50236888003144</c:v>
                </c:pt>
                <c:pt idx="67">
                  <c:v>34.49763111996856</c:v>
                </c:pt>
                <c:pt idx="68">
                  <c:v>44.49763111996856</c:v>
                </c:pt>
                <c:pt idx="69">
                  <c:v>-98.50236888003144</c:v>
                </c:pt>
                <c:pt idx="70">
                  <c:v>1.6815245798333156</c:v>
                </c:pt>
                <c:pt idx="71">
                  <c:v>1.6815245798333156</c:v>
                </c:pt>
                <c:pt idx="72">
                  <c:v>5.6815245798333152</c:v>
                </c:pt>
                <c:pt idx="73">
                  <c:v>0.6815245798333156</c:v>
                </c:pt>
                <c:pt idx="74">
                  <c:v>2.6815245798333156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0E-41D6-BCDF-A81E5D318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867312"/>
        <c:axId val="1"/>
      </c:scatterChart>
      <c:valAx>
        <c:axId val="1546867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47918156431738224"/>
              <c:y val="0.865146733680895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4.5834758326010479E-2"/>
              <c:y val="0.3976884179017021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4686731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DR to the complete data set</a:t>
            </a:r>
          </a:p>
        </c:rich>
      </c:tx>
      <c:layout>
        <c:manualLayout>
          <c:xMode val="edge"/>
          <c:yMode val="edge"/>
          <c:x val="0.16042165414103668"/>
          <c:y val="3.88361452713966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20911707930576"/>
          <c:y val="0.28884383045601258"/>
          <c:w val="0.66877079193860745"/>
          <c:h val="0.4466156706210614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(new)'!$L$227:$L$316</c:f>
              <c:numCache>
                <c:formatCode>General</c:formatCode>
                <c:ptCount val="90"/>
                <c:pt idx="0">
                  <c:v>8.4505218859357689E-2</c:v>
                </c:pt>
                <c:pt idx="1">
                  <c:v>8.4505218859357689E-2</c:v>
                </c:pt>
                <c:pt idx="2">
                  <c:v>8.4505218859357689E-2</c:v>
                </c:pt>
                <c:pt idx="3">
                  <c:v>8.4505218859357689E-2</c:v>
                </c:pt>
                <c:pt idx="4">
                  <c:v>8.4505218859357689E-2</c:v>
                </c:pt>
                <c:pt idx="5">
                  <c:v>0.16901043771871538</c:v>
                </c:pt>
                <c:pt idx="6">
                  <c:v>0.16901043771871538</c:v>
                </c:pt>
                <c:pt idx="7">
                  <c:v>0.16901043771871538</c:v>
                </c:pt>
                <c:pt idx="8">
                  <c:v>0.16901043771871538</c:v>
                </c:pt>
                <c:pt idx="9">
                  <c:v>0.16901043771871538</c:v>
                </c:pt>
                <c:pt idx="10">
                  <c:v>0.33802087543743076</c:v>
                </c:pt>
                <c:pt idx="11">
                  <c:v>0.33802087543743076</c:v>
                </c:pt>
                <c:pt idx="12">
                  <c:v>0.33802087543743076</c:v>
                </c:pt>
                <c:pt idx="13">
                  <c:v>0.33802087543743076</c:v>
                </c:pt>
                <c:pt idx="14">
                  <c:v>0.33802087543743076</c:v>
                </c:pt>
                <c:pt idx="15">
                  <c:v>0.67604175087486151</c:v>
                </c:pt>
                <c:pt idx="16">
                  <c:v>0.67604175087486151</c:v>
                </c:pt>
                <c:pt idx="17">
                  <c:v>0.67604175087486151</c:v>
                </c:pt>
                <c:pt idx="18">
                  <c:v>0.67604175087486151</c:v>
                </c:pt>
                <c:pt idx="19">
                  <c:v>0.67604175087486151</c:v>
                </c:pt>
                <c:pt idx="20">
                  <c:v>1.352083501749723</c:v>
                </c:pt>
                <c:pt idx="21">
                  <c:v>1.352083501749723</c:v>
                </c:pt>
                <c:pt idx="22">
                  <c:v>1.352083501749723</c:v>
                </c:pt>
                <c:pt idx="23">
                  <c:v>1.352083501749723</c:v>
                </c:pt>
                <c:pt idx="24">
                  <c:v>1.352083501749723</c:v>
                </c:pt>
                <c:pt idx="25">
                  <c:v>0.2378685989107415</c:v>
                </c:pt>
                <c:pt idx="26">
                  <c:v>0.2378685989107415</c:v>
                </c:pt>
                <c:pt idx="27">
                  <c:v>0.2378685989107415</c:v>
                </c:pt>
                <c:pt idx="28">
                  <c:v>0.2378685989107415</c:v>
                </c:pt>
                <c:pt idx="29">
                  <c:v>0.2378685989107415</c:v>
                </c:pt>
                <c:pt idx="30">
                  <c:v>0.47573719782148299</c:v>
                </c:pt>
                <c:pt idx="31">
                  <c:v>0.47573719782148299</c:v>
                </c:pt>
                <c:pt idx="32">
                  <c:v>0.47573719782148299</c:v>
                </c:pt>
                <c:pt idx="33">
                  <c:v>0.47573719782148299</c:v>
                </c:pt>
                <c:pt idx="34">
                  <c:v>0.47573719782148299</c:v>
                </c:pt>
                <c:pt idx="35">
                  <c:v>0.95147439564296599</c:v>
                </c:pt>
                <c:pt idx="36">
                  <c:v>0.95147439564296599</c:v>
                </c:pt>
                <c:pt idx="37">
                  <c:v>0.95147439564296599</c:v>
                </c:pt>
                <c:pt idx="38">
                  <c:v>0.95147439564296599</c:v>
                </c:pt>
                <c:pt idx="39">
                  <c:v>0.95147439564296599</c:v>
                </c:pt>
                <c:pt idx="40">
                  <c:v>1.902948791285932</c:v>
                </c:pt>
                <c:pt idx="41">
                  <c:v>1.902948791285932</c:v>
                </c:pt>
                <c:pt idx="42">
                  <c:v>1.902948791285932</c:v>
                </c:pt>
                <c:pt idx="43">
                  <c:v>1.902948791285932</c:v>
                </c:pt>
                <c:pt idx="44">
                  <c:v>1.902948791285932</c:v>
                </c:pt>
                <c:pt idx="45">
                  <c:v>3.8058975825718639</c:v>
                </c:pt>
                <c:pt idx="46">
                  <c:v>3.8058975825718639</c:v>
                </c:pt>
                <c:pt idx="47">
                  <c:v>3.8058975825718639</c:v>
                </c:pt>
                <c:pt idx="48">
                  <c:v>3.8058975825718639</c:v>
                </c:pt>
                <c:pt idx="49">
                  <c:v>3.8058975825718639</c:v>
                </c:pt>
                <c:pt idx="50">
                  <c:v>0.16118690888504961</c:v>
                </c:pt>
                <c:pt idx="51">
                  <c:v>0.16118690888504961</c:v>
                </c:pt>
                <c:pt idx="52">
                  <c:v>0.16118690888504961</c:v>
                </c:pt>
                <c:pt idx="53">
                  <c:v>0.16118690888504961</c:v>
                </c:pt>
                <c:pt idx="54">
                  <c:v>0.16118690888504961</c:v>
                </c:pt>
                <c:pt idx="55">
                  <c:v>0.32237381777009921</c:v>
                </c:pt>
                <c:pt idx="56">
                  <c:v>0.32237381777009921</c:v>
                </c:pt>
                <c:pt idx="57">
                  <c:v>0.32237381777009921</c:v>
                </c:pt>
                <c:pt idx="58">
                  <c:v>0.32237381777009921</c:v>
                </c:pt>
                <c:pt idx="59">
                  <c:v>0.32237381777009921</c:v>
                </c:pt>
                <c:pt idx="60">
                  <c:v>0.64474763554019843</c:v>
                </c:pt>
                <c:pt idx="61">
                  <c:v>0.64474763554019843</c:v>
                </c:pt>
                <c:pt idx="62">
                  <c:v>0.64474763554019843</c:v>
                </c:pt>
                <c:pt idx="63">
                  <c:v>0.64474763554019843</c:v>
                </c:pt>
                <c:pt idx="64">
                  <c:v>0.64474763554019843</c:v>
                </c:pt>
                <c:pt idx="65">
                  <c:v>1.2894952710803969</c:v>
                </c:pt>
                <c:pt idx="66">
                  <c:v>1.2894952710803969</c:v>
                </c:pt>
                <c:pt idx="67">
                  <c:v>1.2894952710803969</c:v>
                </c:pt>
                <c:pt idx="68">
                  <c:v>1.2894952710803969</c:v>
                </c:pt>
                <c:pt idx="69">
                  <c:v>1.2894952710803969</c:v>
                </c:pt>
                <c:pt idx="70">
                  <c:v>2.5789905421607937</c:v>
                </c:pt>
                <c:pt idx="71">
                  <c:v>2.5789905421607937</c:v>
                </c:pt>
                <c:pt idx="72">
                  <c:v>2.5789905421607937</c:v>
                </c:pt>
                <c:pt idx="73">
                  <c:v>2.5789905421607937</c:v>
                </c:pt>
                <c:pt idx="74">
                  <c:v>2.5789905421607937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'IA - continous data model (new)'!$M$227:$M$316</c:f>
              <c:numCache>
                <c:formatCode>0.00</c:formatCode>
                <c:ptCount val="90"/>
                <c:pt idx="0">
                  <c:v>32.378118961732298</c:v>
                </c:pt>
                <c:pt idx="1">
                  <c:v>55.378118961732298</c:v>
                </c:pt>
                <c:pt idx="2">
                  <c:v>100.3781189617323</c:v>
                </c:pt>
                <c:pt idx="3">
                  <c:v>32.378118961732298</c:v>
                </c:pt>
                <c:pt idx="4">
                  <c:v>23.378118961732298</c:v>
                </c:pt>
                <c:pt idx="5">
                  <c:v>105.28177280004877</c:v>
                </c:pt>
                <c:pt idx="6">
                  <c:v>51.28177280004877</c:v>
                </c:pt>
                <c:pt idx="7">
                  <c:v>-18.71822719995123</c:v>
                </c:pt>
                <c:pt idx="8">
                  <c:v>40.28177280004877</c:v>
                </c:pt>
                <c:pt idx="9">
                  <c:v>7.2817728000487705</c:v>
                </c:pt>
                <c:pt idx="10">
                  <c:v>-23.045548263729415</c:v>
                </c:pt>
                <c:pt idx="11">
                  <c:v>12.954451736270585</c:v>
                </c:pt>
                <c:pt idx="12">
                  <c:v>50.954451736270585</c:v>
                </c:pt>
                <c:pt idx="13">
                  <c:v>-55.045548263729415</c:v>
                </c:pt>
                <c:pt idx="14">
                  <c:v>-51.045548263729415</c:v>
                </c:pt>
                <c:pt idx="15">
                  <c:v>-119.89482618454747</c:v>
                </c:pt>
                <c:pt idx="16">
                  <c:v>195.10517381545253</c:v>
                </c:pt>
                <c:pt idx="17">
                  <c:v>-187.89482618454747</c:v>
                </c:pt>
                <c:pt idx="18">
                  <c:v>148.10517381545253</c:v>
                </c:pt>
                <c:pt idx="19">
                  <c:v>151.10517381545253</c:v>
                </c:pt>
                <c:pt idx="20">
                  <c:v>-18.463256117285368</c:v>
                </c:pt>
                <c:pt idx="21">
                  <c:v>41.536743882714632</c:v>
                </c:pt>
                <c:pt idx="22">
                  <c:v>81.536743882714632</c:v>
                </c:pt>
                <c:pt idx="23">
                  <c:v>-118.46325611728537</c:v>
                </c:pt>
                <c:pt idx="24">
                  <c:v>-118.46325611728537</c:v>
                </c:pt>
                <c:pt idx="25">
                  <c:v>79.826373137312999</c:v>
                </c:pt>
                <c:pt idx="26">
                  <c:v>55.826373137312999</c:v>
                </c:pt>
                <c:pt idx="27">
                  <c:v>-150.173626862687</c:v>
                </c:pt>
                <c:pt idx="28">
                  <c:v>91.826373137312999</c:v>
                </c:pt>
                <c:pt idx="29">
                  <c:v>-9.1736268626870014</c:v>
                </c:pt>
                <c:pt idx="30">
                  <c:v>51.100258443987627</c:v>
                </c:pt>
                <c:pt idx="31">
                  <c:v>-18.899741556012373</c:v>
                </c:pt>
                <c:pt idx="32">
                  <c:v>44.100258443987627</c:v>
                </c:pt>
                <c:pt idx="33">
                  <c:v>86.100258443987627</c:v>
                </c:pt>
                <c:pt idx="34">
                  <c:v>-22.899741556012373</c:v>
                </c:pt>
                <c:pt idx="35">
                  <c:v>59.782588290379977</c:v>
                </c:pt>
                <c:pt idx="36">
                  <c:v>10.782588290379977</c:v>
                </c:pt>
                <c:pt idx="37">
                  <c:v>-86.217411709620023</c:v>
                </c:pt>
                <c:pt idx="38">
                  <c:v>-63.217411709620023</c:v>
                </c:pt>
                <c:pt idx="39">
                  <c:v>-66.217411709620023</c:v>
                </c:pt>
                <c:pt idx="40">
                  <c:v>-1.4770731403153725</c:v>
                </c:pt>
                <c:pt idx="41">
                  <c:v>79.522926859684631</c:v>
                </c:pt>
                <c:pt idx="42">
                  <c:v>-2.4770731403153725</c:v>
                </c:pt>
                <c:pt idx="43">
                  <c:v>16.522926859684627</c:v>
                </c:pt>
                <c:pt idx="44">
                  <c:v>49.522926859684631</c:v>
                </c:pt>
                <c:pt idx="45">
                  <c:v>-2.639333256908459E-2</c:v>
                </c:pt>
                <c:pt idx="46">
                  <c:v>-2.639333256908459E-2</c:v>
                </c:pt>
                <c:pt idx="47">
                  <c:v>64.973606667430914</c:v>
                </c:pt>
                <c:pt idx="48">
                  <c:v>-2.639333256908459E-2</c:v>
                </c:pt>
                <c:pt idx="49">
                  <c:v>-2.639333256908459E-2</c:v>
                </c:pt>
                <c:pt idx="50">
                  <c:v>27.061098198710624</c:v>
                </c:pt>
                <c:pt idx="51">
                  <c:v>-18.938901801289376</c:v>
                </c:pt>
                <c:pt idx="52">
                  <c:v>-22.938901801289376</c:v>
                </c:pt>
                <c:pt idx="53">
                  <c:v>108.06109819871062</c:v>
                </c:pt>
                <c:pt idx="54">
                  <c:v>-59.938901801289376</c:v>
                </c:pt>
                <c:pt idx="55">
                  <c:v>6.4520448679293168</c:v>
                </c:pt>
                <c:pt idx="56">
                  <c:v>-35.547955132070683</c:v>
                </c:pt>
                <c:pt idx="57">
                  <c:v>-110.54795513207068</c:v>
                </c:pt>
                <c:pt idx="58">
                  <c:v>28.452044867929317</c:v>
                </c:pt>
                <c:pt idx="59">
                  <c:v>126.45204486792932</c:v>
                </c:pt>
                <c:pt idx="60">
                  <c:v>20.699476537601754</c:v>
                </c:pt>
                <c:pt idx="61">
                  <c:v>-59.300523462398246</c:v>
                </c:pt>
                <c:pt idx="62">
                  <c:v>29.699476537601754</c:v>
                </c:pt>
                <c:pt idx="63">
                  <c:v>0.69947653760175399</c:v>
                </c:pt>
                <c:pt idx="64">
                  <c:v>-108.30052346239825</c:v>
                </c:pt>
                <c:pt idx="65">
                  <c:v>51.976480248294763</c:v>
                </c:pt>
                <c:pt idx="66">
                  <c:v>-31.023519751705237</c:v>
                </c:pt>
                <c:pt idx="67">
                  <c:v>66.976480248294763</c:v>
                </c:pt>
                <c:pt idx="68">
                  <c:v>76.976480248294763</c:v>
                </c:pt>
                <c:pt idx="69">
                  <c:v>-66.023519751705237</c:v>
                </c:pt>
                <c:pt idx="70">
                  <c:v>2.951468349602318</c:v>
                </c:pt>
                <c:pt idx="71">
                  <c:v>2.951468349602318</c:v>
                </c:pt>
                <c:pt idx="72">
                  <c:v>6.951468349602318</c:v>
                </c:pt>
                <c:pt idx="73">
                  <c:v>1.9514683496023182</c:v>
                </c:pt>
                <c:pt idx="74">
                  <c:v>3.951468349602318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84-41FA-B86A-BF8ABCC78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869296"/>
        <c:axId val="1"/>
      </c:scatterChart>
      <c:valAx>
        <c:axId val="1546869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47918156431738224"/>
              <c:y val="0.85924971412965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4.5834758326010479E-2"/>
              <c:y val="0.3932159708728910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4686929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DL to the complete data set</a:t>
            </a:r>
          </a:p>
        </c:rich>
      </c:tx>
      <c:layout>
        <c:manualLayout>
          <c:xMode val="edge"/>
          <c:yMode val="edge"/>
          <c:x val="0.12500388634366494"/>
          <c:y val="4.08177914523579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34058784150788"/>
          <c:y val="0.28062231623496109"/>
          <c:w val="0.68960477299588485"/>
          <c:h val="0.4668534897363443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(new)'!$O$227:$O$316</c:f>
              <c:numCache>
                <c:formatCode>General</c:formatCode>
                <c:ptCount val="90"/>
                <c:pt idx="0">
                  <c:v>8.0319848527641236E-2</c:v>
                </c:pt>
                <c:pt idx="1">
                  <c:v>8.0319848527641236E-2</c:v>
                </c:pt>
                <c:pt idx="2">
                  <c:v>8.0319848527641236E-2</c:v>
                </c:pt>
                <c:pt idx="3">
                  <c:v>8.0319848527641236E-2</c:v>
                </c:pt>
                <c:pt idx="4">
                  <c:v>8.0319848527641236E-2</c:v>
                </c:pt>
                <c:pt idx="5">
                  <c:v>0.16063969705528247</c:v>
                </c:pt>
                <c:pt idx="6">
                  <c:v>0.16063969705528247</c:v>
                </c:pt>
                <c:pt idx="7">
                  <c:v>0.16063969705528247</c:v>
                </c:pt>
                <c:pt idx="8">
                  <c:v>0.16063969705528247</c:v>
                </c:pt>
                <c:pt idx="9">
                  <c:v>0.16063969705528247</c:v>
                </c:pt>
                <c:pt idx="10">
                  <c:v>0.32127939411056494</c:v>
                </c:pt>
                <c:pt idx="11">
                  <c:v>0.32127939411056494</c:v>
                </c:pt>
                <c:pt idx="12">
                  <c:v>0.32127939411056494</c:v>
                </c:pt>
                <c:pt idx="13">
                  <c:v>0.32127939411056494</c:v>
                </c:pt>
                <c:pt idx="14">
                  <c:v>0.32127939411056494</c:v>
                </c:pt>
                <c:pt idx="15">
                  <c:v>0.64255878822112988</c:v>
                </c:pt>
                <c:pt idx="16">
                  <c:v>0.64255878822112988</c:v>
                </c:pt>
                <c:pt idx="17">
                  <c:v>0.64255878822112988</c:v>
                </c:pt>
                <c:pt idx="18">
                  <c:v>0.64255878822112988</c:v>
                </c:pt>
                <c:pt idx="19">
                  <c:v>0.64255878822112988</c:v>
                </c:pt>
                <c:pt idx="20">
                  <c:v>1.2851175764422598</c:v>
                </c:pt>
                <c:pt idx="21">
                  <c:v>1.2851175764422598</c:v>
                </c:pt>
                <c:pt idx="22">
                  <c:v>1.2851175764422598</c:v>
                </c:pt>
                <c:pt idx="23">
                  <c:v>1.2851175764422598</c:v>
                </c:pt>
                <c:pt idx="24">
                  <c:v>1.2851175764422598</c:v>
                </c:pt>
                <c:pt idx="25">
                  <c:v>0.23480016647072111</c:v>
                </c:pt>
                <c:pt idx="26">
                  <c:v>0.23480016647072111</c:v>
                </c:pt>
                <c:pt idx="27">
                  <c:v>0.23480016647072111</c:v>
                </c:pt>
                <c:pt idx="28">
                  <c:v>0.23480016647072111</c:v>
                </c:pt>
                <c:pt idx="29">
                  <c:v>0.23480016647072111</c:v>
                </c:pt>
                <c:pt idx="30">
                  <c:v>0.46960033294144221</c:v>
                </c:pt>
                <c:pt idx="31">
                  <c:v>0.46960033294144221</c:v>
                </c:pt>
                <c:pt idx="32">
                  <c:v>0.46960033294144221</c:v>
                </c:pt>
                <c:pt idx="33">
                  <c:v>0.46960033294144221</c:v>
                </c:pt>
                <c:pt idx="34">
                  <c:v>0.46960033294144221</c:v>
                </c:pt>
                <c:pt idx="35">
                  <c:v>0.93920066588288442</c:v>
                </c:pt>
                <c:pt idx="36">
                  <c:v>0.93920066588288442</c:v>
                </c:pt>
                <c:pt idx="37">
                  <c:v>0.93920066588288442</c:v>
                </c:pt>
                <c:pt idx="38">
                  <c:v>0.93920066588288442</c:v>
                </c:pt>
                <c:pt idx="39">
                  <c:v>0.93920066588288442</c:v>
                </c:pt>
                <c:pt idx="40">
                  <c:v>1.8784013317657688</c:v>
                </c:pt>
                <c:pt idx="41">
                  <c:v>1.8784013317657688</c:v>
                </c:pt>
                <c:pt idx="42">
                  <c:v>1.8784013317657688</c:v>
                </c:pt>
                <c:pt idx="43">
                  <c:v>1.8784013317657688</c:v>
                </c:pt>
                <c:pt idx="44">
                  <c:v>1.8784013317657688</c:v>
                </c:pt>
                <c:pt idx="45">
                  <c:v>3.7568026635315377</c:v>
                </c:pt>
                <c:pt idx="46">
                  <c:v>3.7568026635315377</c:v>
                </c:pt>
                <c:pt idx="47">
                  <c:v>3.7568026635315377</c:v>
                </c:pt>
                <c:pt idx="48">
                  <c:v>3.7568026635315377</c:v>
                </c:pt>
                <c:pt idx="49">
                  <c:v>3.7568026635315377</c:v>
                </c:pt>
                <c:pt idx="50">
                  <c:v>0.15756000749918117</c:v>
                </c:pt>
                <c:pt idx="51">
                  <c:v>0.15756000749918117</c:v>
                </c:pt>
                <c:pt idx="52">
                  <c:v>0.15756000749918117</c:v>
                </c:pt>
                <c:pt idx="53">
                  <c:v>0.15756000749918117</c:v>
                </c:pt>
                <c:pt idx="54">
                  <c:v>0.15756000749918117</c:v>
                </c:pt>
                <c:pt idx="55">
                  <c:v>0.31512001499836234</c:v>
                </c:pt>
                <c:pt idx="56">
                  <c:v>0.31512001499836234</c:v>
                </c:pt>
                <c:pt idx="57">
                  <c:v>0.31512001499836234</c:v>
                </c:pt>
                <c:pt idx="58">
                  <c:v>0.31512001499836234</c:v>
                </c:pt>
                <c:pt idx="59">
                  <c:v>0.31512001499836234</c:v>
                </c:pt>
                <c:pt idx="60">
                  <c:v>0.63024002999672468</c:v>
                </c:pt>
                <c:pt idx="61">
                  <c:v>0.63024002999672468</c:v>
                </c:pt>
                <c:pt idx="62">
                  <c:v>0.63024002999672468</c:v>
                </c:pt>
                <c:pt idx="63">
                  <c:v>0.63024002999672468</c:v>
                </c:pt>
                <c:pt idx="64">
                  <c:v>0.63024002999672468</c:v>
                </c:pt>
                <c:pt idx="65">
                  <c:v>1.2604800599934494</c:v>
                </c:pt>
                <c:pt idx="66">
                  <c:v>1.2604800599934494</c:v>
                </c:pt>
                <c:pt idx="67">
                  <c:v>1.2604800599934494</c:v>
                </c:pt>
                <c:pt idx="68">
                  <c:v>1.2604800599934494</c:v>
                </c:pt>
                <c:pt idx="69">
                  <c:v>1.2604800599934494</c:v>
                </c:pt>
                <c:pt idx="70">
                  <c:v>2.5209601199868987</c:v>
                </c:pt>
                <c:pt idx="71">
                  <c:v>2.5209601199868987</c:v>
                </c:pt>
                <c:pt idx="72">
                  <c:v>2.5209601199868987</c:v>
                </c:pt>
                <c:pt idx="73">
                  <c:v>2.5209601199868987</c:v>
                </c:pt>
                <c:pt idx="74">
                  <c:v>2.5209601199868987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'IA - continous data model (new)'!$P$227:$P$316</c:f>
              <c:numCache>
                <c:formatCode>0.00</c:formatCode>
                <c:ptCount val="90"/>
                <c:pt idx="0">
                  <c:v>26.682435775190584</c:v>
                </c:pt>
                <c:pt idx="1">
                  <c:v>49.682435775190584</c:v>
                </c:pt>
                <c:pt idx="2">
                  <c:v>94.682435775190584</c:v>
                </c:pt>
                <c:pt idx="3">
                  <c:v>26.682435775190584</c:v>
                </c:pt>
                <c:pt idx="4">
                  <c:v>17.682435775190584</c:v>
                </c:pt>
                <c:pt idx="5">
                  <c:v>96.667781172156651</c:v>
                </c:pt>
                <c:pt idx="6">
                  <c:v>42.667781172156651</c:v>
                </c:pt>
                <c:pt idx="7">
                  <c:v>-27.332218827843349</c:v>
                </c:pt>
                <c:pt idx="8">
                  <c:v>31.667781172156651</c:v>
                </c:pt>
                <c:pt idx="9">
                  <c:v>-1.3322188278433487</c:v>
                </c:pt>
                <c:pt idx="10">
                  <c:v>-35.162671704779541</c:v>
                </c:pt>
                <c:pt idx="11">
                  <c:v>0.83732829522045904</c:v>
                </c:pt>
                <c:pt idx="12">
                  <c:v>38.837328295220459</c:v>
                </c:pt>
                <c:pt idx="13">
                  <c:v>-67.162671704779541</c:v>
                </c:pt>
                <c:pt idx="14">
                  <c:v>-63.162671704779541</c:v>
                </c:pt>
                <c:pt idx="15">
                  <c:v>-135.85704666810693</c:v>
                </c:pt>
                <c:pt idx="16">
                  <c:v>179.14295333189307</c:v>
                </c:pt>
                <c:pt idx="17">
                  <c:v>-203.85704666810693</c:v>
                </c:pt>
                <c:pt idx="18">
                  <c:v>132.14295333189307</c:v>
                </c:pt>
                <c:pt idx="19">
                  <c:v>135.14295333189307</c:v>
                </c:pt>
                <c:pt idx="20">
                  <c:v>10.534770665770338</c:v>
                </c:pt>
                <c:pt idx="21">
                  <c:v>70.534770665770338</c:v>
                </c:pt>
                <c:pt idx="22">
                  <c:v>110.53477066577034</c:v>
                </c:pt>
                <c:pt idx="23">
                  <c:v>-89.465229334229662</c:v>
                </c:pt>
                <c:pt idx="24">
                  <c:v>-89.465229334229662</c:v>
                </c:pt>
                <c:pt idx="25">
                  <c:v>90.329494459484863</c:v>
                </c:pt>
                <c:pt idx="26">
                  <c:v>66.329494459484863</c:v>
                </c:pt>
                <c:pt idx="27">
                  <c:v>-139.67050554051514</c:v>
                </c:pt>
                <c:pt idx="28">
                  <c:v>102.32949445948486</c:v>
                </c:pt>
                <c:pt idx="29">
                  <c:v>1.329494459484863</c:v>
                </c:pt>
                <c:pt idx="30">
                  <c:v>58.873521015069855</c:v>
                </c:pt>
                <c:pt idx="31">
                  <c:v>-11.126478984930145</c:v>
                </c:pt>
                <c:pt idx="32">
                  <c:v>51.873521015069855</c:v>
                </c:pt>
                <c:pt idx="33">
                  <c:v>93.873521015069855</c:v>
                </c:pt>
                <c:pt idx="34">
                  <c:v>-15.126478984930145</c:v>
                </c:pt>
                <c:pt idx="35">
                  <c:v>53.94354716178043</c:v>
                </c:pt>
                <c:pt idx="36">
                  <c:v>4.9435471617804296</c:v>
                </c:pt>
                <c:pt idx="37">
                  <c:v>-92.05645283821957</c:v>
                </c:pt>
                <c:pt idx="38">
                  <c:v>-69.05645283821957</c:v>
                </c:pt>
                <c:pt idx="39">
                  <c:v>-72.05645283821957</c:v>
                </c:pt>
                <c:pt idx="40">
                  <c:v>-4.4350674053131218</c:v>
                </c:pt>
                <c:pt idx="41">
                  <c:v>76.56493259468688</c:v>
                </c:pt>
                <c:pt idx="42">
                  <c:v>-5.4350674053131218</c:v>
                </c:pt>
                <c:pt idx="43">
                  <c:v>13.564932594686878</c:v>
                </c:pt>
                <c:pt idx="44">
                  <c:v>46.56493259468688</c:v>
                </c:pt>
                <c:pt idx="45">
                  <c:v>-6.3917294188478593E-2</c:v>
                </c:pt>
                <c:pt idx="46">
                  <c:v>-6.3917294188478593E-2</c:v>
                </c:pt>
                <c:pt idx="47">
                  <c:v>64.936082705811515</c:v>
                </c:pt>
                <c:pt idx="48">
                  <c:v>-6.3917294188478593E-2</c:v>
                </c:pt>
                <c:pt idx="49">
                  <c:v>-6.3917294188478593E-2</c:v>
                </c:pt>
                <c:pt idx="50">
                  <c:v>16.80487852934391</c:v>
                </c:pt>
                <c:pt idx="51">
                  <c:v>-29.19512147065609</c:v>
                </c:pt>
                <c:pt idx="52">
                  <c:v>-33.19512147065609</c:v>
                </c:pt>
                <c:pt idx="53">
                  <c:v>97.80487852934391</c:v>
                </c:pt>
                <c:pt idx="54">
                  <c:v>-70.19512147065609</c:v>
                </c:pt>
                <c:pt idx="55">
                  <c:v>-8.7296544410905881</c:v>
                </c:pt>
                <c:pt idx="56">
                  <c:v>-50.729654441090588</c:v>
                </c:pt>
                <c:pt idx="57">
                  <c:v>-125.72965444109059</c:v>
                </c:pt>
                <c:pt idx="58">
                  <c:v>13.270345558909412</c:v>
                </c:pt>
                <c:pt idx="59">
                  <c:v>111.27034555890941</c:v>
                </c:pt>
                <c:pt idx="60">
                  <c:v>1.3326687446331107</c:v>
                </c:pt>
                <c:pt idx="61">
                  <c:v>-78.667331255366889</c:v>
                </c:pt>
                <c:pt idx="62">
                  <c:v>10.332668744633111</c:v>
                </c:pt>
                <c:pt idx="63">
                  <c:v>-18.667331255366889</c:v>
                </c:pt>
                <c:pt idx="64">
                  <c:v>-127.66733125536689</c:v>
                </c:pt>
                <c:pt idx="65">
                  <c:v>30.459244847768673</c:v>
                </c:pt>
                <c:pt idx="66">
                  <c:v>-52.540755152231327</c:v>
                </c:pt>
                <c:pt idx="67">
                  <c:v>45.459244847768673</c:v>
                </c:pt>
                <c:pt idx="68">
                  <c:v>55.459244847768673</c:v>
                </c:pt>
                <c:pt idx="69">
                  <c:v>-87.540755152231327</c:v>
                </c:pt>
                <c:pt idx="70">
                  <c:v>2.2254796115240314</c:v>
                </c:pt>
                <c:pt idx="71">
                  <c:v>2.2254796115240314</c:v>
                </c:pt>
                <c:pt idx="72">
                  <c:v>6.2254796115240314</c:v>
                </c:pt>
                <c:pt idx="73">
                  <c:v>1.2254796115240314</c:v>
                </c:pt>
                <c:pt idx="74">
                  <c:v>3.2254796115240314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45-4491-9D14-E8612C3895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878720"/>
        <c:axId val="1"/>
      </c:scatterChart>
      <c:valAx>
        <c:axId val="154687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47501476810592674"/>
              <c:y val="0.86227584443106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4.5834758326010479E-2"/>
              <c:y val="0.3979734666604902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4687872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Experimental Design</a:t>
            </a:r>
          </a:p>
        </c:rich>
      </c:tx>
      <c:layout>
        <c:manualLayout>
          <c:xMode val="edge"/>
          <c:yMode val="edge"/>
          <c:x val="0.28105558076982251"/>
          <c:y val="3.82035021477193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351509236777216"/>
          <c:y val="0.14607221409422122"/>
          <c:w val="0.71897939266698785"/>
          <c:h val="0.626986888189041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(new)'!$A$25:$A$224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110">
                  <c:v>6.2500000000000003E-3</c:v>
                </c:pt>
                <c:pt idx="111">
                  <c:v>6.2500000000000003E-3</c:v>
                </c:pt>
                <c:pt idx="112">
                  <c:v>6.2500000000000003E-3</c:v>
                </c:pt>
                <c:pt idx="113">
                  <c:v>6.2500000000000003E-3</c:v>
                </c:pt>
                <c:pt idx="114">
                  <c:v>6.2500000000000003E-3</c:v>
                </c:pt>
                <c:pt idx="115">
                  <c:v>1.2500000000000001E-2</c:v>
                </c:pt>
                <c:pt idx="116">
                  <c:v>1.2500000000000001E-2</c:v>
                </c:pt>
                <c:pt idx="117">
                  <c:v>1.2500000000000001E-2</c:v>
                </c:pt>
                <c:pt idx="118">
                  <c:v>1.2500000000000001E-2</c:v>
                </c:pt>
                <c:pt idx="119">
                  <c:v>1.2500000000000001E-2</c:v>
                </c:pt>
                <c:pt idx="120">
                  <c:v>2.5000000000000001E-2</c:v>
                </c:pt>
                <c:pt idx="121">
                  <c:v>2.5000000000000001E-2</c:v>
                </c:pt>
                <c:pt idx="122">
                  <c:v>2.5000000000000001E-2</c:v>
                </c:pt>
                <c:pt idx="123">
                  <c:v>2.5000000000000001E-2</c:v>
                </c:pt>
                <c:pt idx="124">
                  <c:v>2.5000000000000001E-2</c:v>
                </c:pt>
                <c:pt idx="125">
                  <c:v>0.05</c:v>
                </c:pt>
                <c:pt idx="126">
                  <c:v>0.05</c:v>
                </c:pt>
                <c:pt idx="127">
                  <c:v>0.05</c:v>
                </c:pt>
                <c:pt idx="128">
                  <c:v>0.05</c:v>
                </c:pt>
                <c:pt idx="129">
                  <c:v>0.05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1.8749999999999999E-2</c:v>
                </c:pt>
                <c:pt idx="136">
                  <c:v>1.8749999999999999E-2</c:v>
                </c:pt>
                <c:pt idx="137">
                  <c:v>1.8749999999999999E-2</c:v>
                </c:pt>
                <c:pt idx="138">
                  <c:v>1.8749999999999999E-2</c:v>
                </c:pt>
                <c:pt idx="139">
                  <c:v>1.8749999999999999E-2</c:v>
                </c:pt>
                <c:pt idx="140">
                  <c:v>3.7499999999999999E-2</c:v>
                </c:pt>
                <c:pt idx="141">
                  <c:v>3.7499999999999999E-2</c:v>
                </c:pt>
                <c:pt idx="142">
                  <c:v>3.7499999999999999E-2</c:v>
                </c:pt>
                <c:pt idx="143">
                  <c:v>3.7499999999999999E-2</c:v>
                </c:pt>
                <c:pt idx="144">
                  <c:v>3.7499999999999999E-2</c:v>
                </c:pt>
                <c:pt idx="145">
                  <c:v>7.4999999999999997E-2</c:v>
                </c:pt>
                <c:pt idx="146">
                  <c:v>7.4999999999999997E-2</c:v>
                </c:pt>
                <c:pt idx="147">
                  <c:v>7.4999999999999997E-2</c:v>
                </c:pt>
                <c:pt idx="148">
                  <c:v>7.4999999999999997E-2</c:v>
                </c:pt>
                <c:pt idx="149">
                  <c:v>7.4999999999999997E-2</c:v>
                </c:pt>
                <c:pt idx="150">
                  <c:v>0.15</c:v>
                </c:pt>
                <c:pt idx="151">
                  <c:v>0.15</c:v>
                </c:pt>
                <c:pt idx="152">
                  <c:v>0.15</c:v>
                </c:pt>
                <c:pt idx="153">
                  <c:v>0.15</c:v>
                </c:pt>
                <c:pt idx="154">
                  <c:v>0.15</c:v>
                </c:pt>
                <c:pt idx="155">
                  <c:v>0.3</c:v>
                </c:pt>
                <c:pt idx="156">
                  <c:v>0.3</c:v>
                </c:pt>
                <c:pt idx="157">
                  <c:v>0.3</c:v>
                </c:pt>
                <c:pt idx="158">
                  <c:v>0.3</c:v>
                </c:pt>
                <c:pt idx="159">
                  <c:v>0.3</c:v>
                </c:pt>
                <c:pt idx="160">
                  <c:v>1.2500000000000001E-2</c:v>
                </c:pt>
                <c:pt idx="161">
                  <c:v>1.2500000000000001E-2</c:v>
                </c:pt>
                <c:pt idx="162">
                  <c:v>1.2500000000000001E-2</c:v>
                </c:pt>
                <c:pt idx="163">
                  <c:v>1.2500000000000001E-2</c:v>
                </c:pt>
                <c:pt idx="164">
                  <c:v>1.2500000000000001E-2</c:v>
                </c:pt>
                <c:pt idx="165">
                  <c:v>2.5000000000000001E-2</c:v>
                </c:pt>
                <c:pt idx="166">
                  <c:v>2.5000000000000001E-2</c:v>
                </c:pt>
                <c:pt idx="167">
                  <c:v>2.5000000000000001E-2</c:v>
                </c:pt>
                <c:pt idx="168">
                  <c:v>2.5000000000000001E-2</c:v>
                </c:pt>
                <c:pt idx="169">
                  <c:v>2.5000000000000001E-2</c:v>
                </c:pt>
                <c:pt idx="170">
                  <c:v>0.05</c:v>
                </c:pt>
                <c:pt idx="171">
                  <c:v>0.05</c:v>
                </c:pt>
                <c:pt idx="172">
                  <c:v>0.05</c:v>
                </c:pt>
                <c:pt idx="173">
                  <c:v>0.05</c:v>
                </c:pt>
                <c:pt idx="174">
                  <c:v>0.05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</c:numCache>
            </c:numRef>
          </c:xVal>
          <c:yVal>
            <c:numRef>
              <c:f>'IA - continous data model (new)'!$B$25:$B$224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65">
                  <c:v>0.25</c:v>
                </c:pt>
                <c:pt idx="66">
                  <c:v>0.25</c:v>
                </c:pt>
                <c:pt idx="67">
                  <c:v>0.25</c:v>
                </c:pt>
                <c:pt idx="68">
                  <c:v>0.25</c:v>
                </c:pt>
                <c:pt idx="69">
                  <c:v>0.25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110">
                  <c:v>0.1875</c:v>
                </c:pt>
                <c:pt idx="111">
                  <c:v>0.1875</c:v>
                </c:pt>
                <c:pt idx="112">
                  <c:v>0.1875</c:v>
                </c:pt>
                <c:pt idx="113">
                  <c:v>0.1875</c:v>
                </c:pt>
                <c:pt idx="114">
                  <c:v>0.1875</c:v>
                </c:pt>
                <c:pt idx="115">
                  <c:v>0.375</c:v>
                </c:pt>
                <c:pt idx="116">
                  <c:v>0.375</c:v>
                </c:pt>
                <c:pt idx="117">
                  <c:v>0.375</c:v>
                </c:pt>
                <c:pt idx="118">
                  <c:v>0.375</c:v>
                </c:pt>
                <c:pt idx="119">
                  <c:v>0.375</c:v>
                </c:pt>
                <c:pt idx="120">
                  <c:v>0.75</c:v>
                </c:pt>
                <c:pt idx="121">
                  <c:v>0.75</c:v>
                </c:pt>
                <c:pt idx="122">
                  <c:v>0.75</c:v>
                </c:pt>
                <c:pt idx="123">
                  <c:v>0.75</c:v>
                </c:pt>
                <c:pt idx="124">
                  <c:v>0.75</c:v>
                </c:pt>
                <c:pt idx="125">
                  <c:v>1.5</c:v>
                </c:pt>
                <c:pt idx="126">
                  <c:v>1.5</c:v>
                </c:pt>
                <c:pt idx="127">
                  <c:v>1.5</c:v>
                </c:pt>
                <c:pt idx="128">
                  <c:v>1.5</c:v>
                </c:pt>
                <c:pt idx="129">
                  <c:v>1.5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6.25E-2</c:v>
                </c:pt>
                <c:pt idx="136">
                  <c:v>6.25E-2</c:v>
                </c:pt>
                <c:pt idx="137">
                  <c:v>6.25E-2</c:v>
                </c:pt>
                <c:pt idx="138">
                  <c:v>6.25E-2</c:v>
                </c:pt>
                <c:pt idx="139">
                  <c:v>6.25E-2</c:v>
                </c:pt>
                <c:pt idx="140">
                  <c:v>0.125</c:v>
                </c:pt>
                <c:pt idx="141">
                  <c:v>0.125</c:v>
                </c:pt>
                <c:pt idx="142">
                  <c:v>0.125</c:v>
                </c:pt>
                <c:pt idx="143">
                  <c:v>0.125</c:v>
                </c:pt>
                <c:pt idx="144">
                  <c:v>0.125</c:v>
                </c:pt>
                <c:pt idx="145">
                  <c:v>0.25</c:v>
                </c:pt>
                <c:pt idx="146">
                  <c:v>0.25</c:v>
                </c:pt>
                <c:pt idx="147">
                  <c:v>0.25</c:v>
                </c:pt>
                <c:pt idx="148">
                  <c:v>0.25</c:v>
                </c:pt>
                <c:pt idx="149">
                  <c:v>0.25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0.125</c:v>
                </c:pt>
                <c:pt idx="161">
                  <c:v>0.125</c:v>
                </c:pt>
                <c:pt idx="162">
                  <c:v>0.125</c:v>
                </c:pt>
                <c:pt idx="163">
                  <c:v>0.125</c:v>
                </c:pt>
                <c:pt idx="164">
                  <c:v>0.125</c:v>
                </c:pt>
                <c:pt idx="165">
                  <c:v>0.25</c:v>
                </c:pt>
                <c:pt idx="166">
                  <c:v>0.25</c:v>
                </c:pt>
                <c:pt idx="167">
                  <c:v>0.25</c:v>
                </c:pt>
                <c:pt idx="168">
                  <c:v>0.25</c:v>
                </c:pt>
                <c:pt idx="169">
                  <c:v>0.25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94-4DAB-9852-E0C1B828E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879216"/>
        <c:axId val="1"/>
      </c:scatterChart>
      <c:valAx>
        <c:axId val="1546879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45753234078808319"/>
              <c:y val="0.88766960872642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1.7429803458593646E-2"/>
              <c:y val="0.29439169302066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4687921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Synergism/Antagonism</a:t>
            </a:r>
          </a:p>
        </c:rich>
      </c:tx>
      <c:layout>
        <c:manualLayout>
          <c:xMode val="edge"/>
          <c:yMode val="edge"/>
          <c:x val="0.27413199843900032"/>
          <c:y val="2.739819948477873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149865473871225"/>
          <c:y val="0.13927418071429187"/>
          <c:w val="0.66449596421613677"/>
          <c:h val="0.63472495473070734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(new)'!$C$45:$C$89</c:f>
              <c:numCache>
                <c:formatCode>0.00</c:formatCode>
                <c:ptCount val="45"/>
                <c:pt idx="0">
                  <c:v>861</c:v>
                </c:pt>
                <c:pt idx="1">
                  <c:v>884</c:v>
                </c:pt>
                <c:pt idx="2">
                  <c:v>763</c:v>
                </c:pt>
                <c:pt idx="3">
                  <c:v>822</c:v>
                </c:pt>
                <c:pt idx="4">
                  <c:v>1051</c:v>
                </c:pt>
                <c:pt idx="5">
                  <c:v>937</c:v>
                </c:pt>
                <c:pt idx="6">
                  <c:v>821</c:v>
                </c:pt>
                <c:pt idx="7">
                  <c:v>971</c:v>
                </c:pt>
                <c:pt idx="8">
                  <c:v>861</c:v>
                </c:pt>
                <c:pt idx="9">
                  <c:v>837</c:v>
                </c:pt>
                <c:pt idx="10">
                  <c:v>169</c:v>
                </c:pt>
                <c:pt idx="11">
                  <c:v>73</c:v>
                </c:pt>
                <c:pt idx="12">
                  <c:v>133</c:v>
                </c:pt>
                <c:pt idx="13">
                  <c:v>101</c:v>
                </c:pt>
                <c:pt idx="14">
                  <c:v>324</c:v>
                </c:pt>
                <c:pt idx="15">
                  <c:v>23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xVal>
          <c:yVal>
            <c:numRef>
              <c:f>'IA - continous data model (new)'!$I$45:$I$89</c:f>
              <c:numCache>
                <c:formatCode>0.00</c:formatCode>
                <c:ptCount val="45"/>
                <c:pt idx="0">
                  <c:v>811.15264039049623</c:v>
                </c:pt>
                <c:pt idx="1">
                  <c:v>811.15264039049623</c:v>
                </c:pt>
                <c:pt idx="2">
                  <c:v>811.15264039049623</c:v>
                </c:pt>
                <c:pt idx="3">
                  <c:v>811.15264039049623</c:v>
                </c:pt>
                <c:pt idx="4">
                  <c:v>811.15264039049623</c:v>
                </c:pt>
                <c:pt idx="5">
                  <c:v>788.92966035922984</c:v>
                </c:pt>
                <c:pt idx="6">
                  <c:v>788.92966035922984</c:v>
                </c:pt>
                <c:pt idx="7">
                  <c:v>788.92966035922984</c:v>
                </c:pt>
                <c:pt idx="8">
                  <c:v>788.92966035922984</c:v>
                </c:pt>
                <c:pt idx="9">
                  <c:v>788.92966035922984</c:v>
                </c:pt>
                <c:pt idx="10">
                  <c:v>110.70591978031328</c:v>
                </c:pt>
                <c:pt idx="11">
                  <c:v>110.70591978031328</c:v>
                </c:pt>
                <c:pt idx="12">
                  <c:v>110.70591978031328</c:v>
                </c:pt>
                <c:pt idx="13">
                  <c:v>110.70591978031328</c:v>
                </c:pt>
                <c:pt idx="14">
                  <c:v>110.70591978031328</c:v>
                </c:pt>
                <c:pt idx="15">
                  <c:v>0.57290208399329945</c:v>
                </c:pt>
                <c:pt idx="16">
                  <c:v>0.57290208399329945</c:v>
                </c:pt>
                <c:pt idx="17">
                  <c:v>0.57290208399329945</c:v>
                </c:pt>
                <c:pt idx="18">
                  <c:v>0.57290208399329945</c:v>
                </c:pt>
                <c:pt idx="19">
                  <c:v>0.57290208399329945</c:v>
                </c:pt>
                <c:pt idx="20">
                  <c:v>2.5637956115556462E-3</c:v>
                </c:pt>
                <c:pt idx="21">
                  <c:v>2.5637956115556462E-3</c:v>
                </c:pt>
                <c:pt idx="22">
                  <c:v>2.5637956115556462E-3</c:v>
                </c:pt>
                <c:pt idx="23">
                  <c:v>2.5637956115556462E-3</c:v>
                </c:pt>
                <c:pt idx="24">
                  <c:v>2.5637956115556462E-3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2-42A6-AA21-E55467E755D6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(new)'!$C$90:$C$134</c:f>
              <c:numCache>
                <c:formatCode>0.00</c:formatCode>
                <c:ptCount val="45"/>
                <c:pt idx="0">
                  <c:v>569</c:v>
                </c:pt>
                <c:pt idx="1">
                  <c:v>617</c:v>
                </c:pt>
                <c:pt idx="2">
                  <c:v>655</c:v>
                </c:pt>
                <c:pt idx="3">
                  <c:v>599</c:v>
                </c:pt>
                <c:pt idx="4">
                  <c:v>607</c:v>
                </c:pt>
                <c:pt idx="5">
                  <c:v>708</c:v>
                </c:pt>
                <c:pt idx="6">
                  <c:v>572</c:v>
                </c:pt>
                <c:pt idx="7">
                  <c:v>547</c:v>
                </c:pt>
                <c:pt idx="8">
                  <c:v>641</c:v>
                </c:pt>
                <c:pt idx="9">
                  <c:v>644</c:v>
                </c:pt>
                <c:pt idx="10">
                  <c:v>578</c:v>
                </c:pt>
                <c:pt idx="11">
                  <c:v>550</c:v>
                </c:pt>
                <c:pt idx="12">
                  <c:v>585</c:v>
                </c:pt>
                <c:pt idx="13">
                  <c:v>421</c:v>
                </c:pt>
                <c:pt idx="14">
                  <c:v>632</c:v>
                </c:pt>
                <c:pt idx="15">
                  <c:v>616</c:v>
                </c:pt>
                <c:pt idx="16">
                  <c:v>745</c:v>
                </c:pt>
                <c:pt idx="17">
                  <c:v>611</c:v>
                </c:pt>
                <c:pt idx="18">
                  <c:v>586</c:v>
                </c:pt>
                <c:pt idx="19">
                  <c:v>522</c:v>
                </c:pt>
                <c:pt idx="20">
                  <c:v>549</c:v>
                </c:pt>
                <c:pt idx="21">
                  <c:v>552</c:v>
                </c:pt>
                <c:pt idx="22">
                  <c:v>473</c:v>
                </c:pt>
                <c:pt idx="23">
                  <c:v>350</c:v>
                </c:pt>
                <c:pt idx="24">
                  <c:v>626</c:v>
                </c:pt>
              </c:numCache>
            </c:numRef>
          </c:xVal>
          <c:yVal>
            <c:numRef>
              <c:f>'IA - continous data model (new)'!$I$90:$I$134</c:f>
              <c:numCache>
                <c:formatCode>0.00</c:formatCode>
                <c:ptCount val="45"/>
                <c:pt idx="0">
                  <c:v>641.01655097101502</c:v>
                </c:pt>
                <c:pt idx="1">
                  <c:v>641.01655097101502</c:v>
                </c:pt>
                <c:pt idx="2">
                  <c:v>641.01655097101502</c:v>
                </c:pt>
                <c:pt idx="3">
                  <c:v>641.01655097101502</c:v>
                </c:pt>
                <c:pt idx="4">
                  <c:v>641.01655097101502</c:v>
                </c:pt>
                <c:pt idx="5">
                  <c:v>616.28032456652454</c:v>
                </c:pt>
                <c:pt idx="6">
                  <c:v>616.28032456652454</c:v>
                </c:pt>
                <c:pt idx="7">
                  <c:v>616.28032456652454</c:v>
                </c:pt>
                <c:pt idx="8">
                  <c:v>616.28032456652454</c:v>
                </c:pt>
                <c:pt idx="9">
                  <c:v>616.28032456652454</c:v>
                </c:pt>
                <c:pt idx="10">
                  <c:v>589.19496358236017</c:v>
                </c:pt>
                <c:pt idx="11">
                  <c:v>589.19496358236017</c:v>
                </c:pt>
                <c:pt idx="12">
                  <c:v>589.19496358236017</c:v>
                </c:pt>
                <c:pt idx="13">
                  <c:v>589.19496358236017</c:v>
                </c:pt>
                <c:pt idx="14">
                  <c:v>589.19496358236017</c:v>
                </c:pt>
                <c:pt idx="15">
                  <c:v>559.88171135277526</c:v>
                </c:pt>
                <c:pt idx="16">
                  <c:v>559.88171135277526</c:v>
                </c:pt>
                <c:pt idx="17">
                  <c:v>559.88171135277526</c:v>
                </c:pt>
                <c:pt idx="18">
                  <c:v>559.88171135277526</c:v>
                </c:pt>
                <c:pt idx="19">
                  <c:v>559.88171135277526</c:v>
                </c:pt>
                <c:pt idx="20">
                  <c:v>528.55556129888191</c:v>
                </c:pt>
                <c:pt idx="21">
                  <c:v>528.55556129888191</c:v>
                </c:pt>
                <c:pt idx="22">
                  <c:v>528.55556129888191</c:v>
                </c:pt>
                <c:pt idx="23">
                  <c:v>528.55556129888191</c:v>
                </c:pt>
                <c:pt idx="24">
                  <c:v>528.55556129888191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2-42A6-AA21-E55467E755D6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(new)'!$C$135:$C$224</c:f>
              <c:numCache>
                <c:formatCode>0.00</c:formatCode>
                <c:ptCount val="90"/>
                <c:pt idx="0">
                  <c:v>820</c:v>
                </c:pt>
                <c:pt idx="1">
                  <c:v>843</c:v>
                </c:pt>
                <c:pt idx="2">
                  <c:v>888</c:v>
                </c:pt>
                <c:pt idx="3">
                  <c:v>820</c:v>
                </c:pt>
                <c:pt idx="4">
                  <c:v>811</c:v>
                </c:pt>
                <c:pt idx="5">
                  <c:v>886</c:v>
                </c:pt>
                <c:pt idx="6">
                  <c:v>832</c:v>
                </c:pt>
                <c:pt idx="7">
                  <c:v>762</c:v>
                </c:pt>
                <c:pt idx="8">
                  <c:v>821</c:v>
                </c:pt>
                <c:pt idx="9">
                  <c:v>788</c:v>
                </c:pt>
                <c:pt idx="10">
                  <c:v>749</c:v>
                </c:pt>
                <c:pt idx="11">
                  <c:v>785</c:v>
                </c:pt>
                <c:pt idx="12">
                  <c:v>823</c:v>
                </c:pt>
                <c:pt idx="13">
                  <c:v>717</c:v>
                </c:pt>
                <c:pt idx="14">
                  <c:v>721</c:v>
                </c:pt>
                <c:pt idx="15">
                  <c:v>636</c:v>
                </c:pt>
                <c:pt idx="16">
                  <c:v>951</c:v>
                </c:pt>
                <c:pt idx="17">
                  <c:v>568</c:v>
                </c:pt>
                <c:pt idx="18">
                  <c:v>904</c:v>
                </c:pt>
                <c:pt idx="19">
                  <c:v>907</c:v>
                </c:pt>
                <c:pt idx="20">
                  <c:v>287</c:v>
                </c:pt>
                <c:pt idx="21">
                  <c:v>347</c:v>
                </c:pt>
                <c:pt idx="22">
                  <c:v>387</c:v>
                </c:pt>
                <c:pt idx="23">
                  <c:v>187</c:v>
                </c:pt>
                <c:pt idx="24">
                  <c:v>187</c:v>
                </c:pt>
                <c:pt idx="25">
                  <c:v>789</c:v>
                </c:pt>
                <c:pt idx="26">
                  <c:v>765</c:v>
                </c:pt>
                <c:pt idx="27">
                  <c:v>559</c:v>
                </c:pt>
                <c:pt idx="28">
                  <c:v>801</c:v>
                </c:pt>
                <c:pt idx="29">
                  <c:v>700</c:v>
                </c:pt>
                <c:pt idx="30">
                  <c:v>739</c:v>
                </c:pt>
                <c:pt idx="31">
                  <c:v>669</c:v>
                </c:pt>
                <c:pt idx="32">
                  <c:v>732</c:v>
                </c:pt>
                <c:pt idx="33">
                  <c:v>774</c:v>
                </c:pt>
                <c:pt idx="34">
                  <c:v>665</c:v>
                </c:pt>
                <c:pt idx="35">
                  <c:v>483</c:v>
                </c:pt>
                <c:pt idx="36">
                  <c:v>434</c:v>
                </c:pt>
                <c:pt idx="37">
                  <c:v>337</c:v>
                </c:pt>
                <c:pt idx="38">
                  <c:v>360</c:v>
                </c:pt>
                <c:pt idx="39">
                  <c:v>357</c:v>
                </c:pt>
                <c:pt idx="40">
                  <c:v>4</c:v>
                </c:pt>
                <c:pt idx="41">
                  <c:v>85</c:v>
                </c:pt>
                <c:pt idx="42">
                  <c:v>3</c:v>
                </c:pt>
                <c:pt idx="43">
                  <c:v>22</c:v>
                </c:pt>
                <c:pt idx="44">
                  <c:v>55</c:v>
                </c:pt>
                <c:pt idx="45">
                  <c:v>0</c:v>
                </c:pt>
                <c:pt idx="46">
                  <c:v>0</c:v>
                </c:pt>
                <c:pt idx="47">
                  <c:v>65</c:v>
                </c:pt>
                <c:pt idx="48">
                  <c:v>0</c:v>
                </c:pt>
                <c:pt idx="49">
                  <c:v>0</c:v>
                </c:pt>
                <c:pt idx="50">
                  <c:v>749</c:v>
                </c:pt>
                <c:pt idx="51">
                  <c:v>703</c:v>
                </c:pt>
                <c:pt idx="52">
                  <c:v>699</c:v>
                </c:pt>
                <c:pt idx="53">
                  <c:v>830</c:v>
                </c:pt>
                <c:pt idx="54">
                  <c:v>662</c:v>
                </c:pt>
                <c:pt idx="55">
                  <c:v>710</c:v>
                </c:pt>
                <c:pt idx="56">
                  <c:v>668</c:v>
                </c:pt>
                <c:pt idx="57">
                  <c:v>593</c:v>
                </c:pt>
                <c:pt idx="58">
                  <c:v>732</c:v>
                </c:pt>
                <c:pt idx="59">
                  <c:v>830</c:v>
                </c:pt>
                <c:pt idx="60">
                  <c:v>690</c:v>
                </c:pt>
                <c:pt idx="61">
                  <c:v>610</c:v>
                </c:pt>
                <c:pt idx="62">
                  <c:v>699</c:v>
                </c:pt>
                <c:pt idx="63">
                  <c:v>670</c:v>
                </c:pt>
                <c:pt idx="64">
                  <c:v>561</c:v>
                </c:pt>
                <c:pt idx="65">
                  <c:v>183</c:v>
                </c:pt>
                <c:pt idx="66">
                  <c:v>100</c:v>
                </c:pt>
                <c:pt idx="67">
                  <c:v>198</c:v>
                </c:pt>
                <c:pt idx="68">
                  <c:v>208</c:v>
                </c:pt>
                <c:pt idx="69">
                  <c:v>65</c:v>
                </c:pt>
                <c:pt idx="70">
                  <c:v>4</c:v>
                </c:pt>
                <c:pt idx="71">
                  <c:v>4</c:v>
                </c:pt>
                <c:pt idx="72">
                  <c:v>8</c:v>
                </c:pt>
                <c:pt idx="73">
                  <c:v>3</c:v>
                </c:pt>
                <c:pt idx="74">
                  <c:v>5</c:v>
                </c:pt>
              </c:numCache>
            </c:numRef>
          </c:xVal>
          <c:yVal>
            <c:numRef>
              <c:f>'IA - continous data model (new)'!$I$135:$I$224</c:f>
              <c:numCache>
                <c:formatCode>0.00</c:formatCode>
                <c:ptCount val="90"/>
                <c:pt idx="0">
                  <c:v>785.2396750127491</c:v>
                </c:pt>
                <c:pt idx="1">
                  <c:v>785.2396750127491</c:v>
                </c:pt>
                <c:pt idx="2">
                  <c:v>785.2396750127491</c:v>
                </c:pt>
                <c:pt idx="3">
                  <c:v>785.2396750127491</c:v>
                </c:pt>
                <c:pt idx="4">
                  <c:v>785.2396750127491</c:v>
                </c:pt>
                <c:pt idx="5">
                  <c:v>778.77949233737331</c:v>
                </c:pt>
                <c:pt idx="6">
                  <c:v>778.77949233737331</c:v>
                </c:pt>
                <c:pt idx="7">
                  <c:v>778.77949233737331</c:v>
                </c:pt>
                <c:pt idx="8">
                  <c:v>778.77949233737331</c:v>
                </c:pt>
                <c:pt idx="9">
                  <c:v>778.77949233737331</c:v>
                </c:pt>
                <c:pt idx="10">
                  <c:v>770.88574173297172</c:v>
                </c:pt>
                <c:pt idx="11">
                  <c:v>770.88574173297172</c:v>
                </c:pt>
                <c:pt idx="12">
                  <c:v>770.88574173297172</c:v>
                </c:pt>
                <c:pt idx="13">
                  <c:v>770.88574173297172</c:v>
                </c:pt>
                <c:pt idx="14">
                  <c:v>770.88574173297172</c:v>
                </c:pt>
                <c:pt idx="15">
                  <c:v>755.71126048811084</c:v>
                </c:pt>
                <c:pt idx="16">
                  <c:v>755.71126048811084</c:v>
                </c:pt>
                <c:pt idx="17">
                  <c:v>755.71126048811084</c:v>
                </c:pt>
                <c:pt idx="18">
                  <c:v>755.71126048811084</c:v>
                </c:pt>
                <c:pt idx="19">
                  <c:v>755.71126048811084</c:v>
                </c:pt>
                <c:pt idx="20">
                  <c:v>300.37597350805521</c:v>
                </c:pt>
                <c:pt idx="21">
                  <c:v>300.37597350805521</c:v>
                </c:pt>
                <c:pt idx="22">
                  <c:v>300.37597350805521</c:v>
                </c:pt>
                <c:pt idx="23">
                  <c:v>300.37597350805521</c:v>
                </c:pt>
                <c:pt idx="24">
                  <c:v>300.37597350805521</c:v>
                </c:pt>
                <c:pt idx="25">
                  <c:v>705.65005312527751</c:v>
                </c:pt>
                <c:pt idx="26">
                  <c:v>705.65005312527751</c:v>
                </c:pt>
                <c:pt idx="27">
                  <c:v>705.65005312527751</c:v>
                </c:pt>
                <c:pt idx="28">
                  <c:v>705.65005312527751</c:v>
                </c:pt>
                <c:pt idx="29">
                  <c:v>705.65005312527751</c:v>
                </c:pt>
                <c:pt idx="30">
                  <c:v>686.2124333038214</c:v>
                </c:pt>
                <c:pt idx="31">
                  <c:v>686.2124333038214</c:v>
                </c:pt>
                <c:pt idx="32">
                  <c:v>686.2124333038214</c:v>
                </c:pt>
                <c:pt idx="33">
                  <c:v>686.2124333038214</c:v>
                </c:pt>
                <c:pt idx="34">
                  <c:v>686.2124333038214</c:v>
                </c:pt>
                <c:pt idx="35">
                  <c:v>423.08681970741441</c:v>
                </c:pt>
                <c:pt idx="36">
                  <c:v>423.08681970741441</c:v>
                </c:pt>
                <c:pt idx="37">
                  <c:v>423.08681970741441</c:v>
                </c:pt>
                <c:pt idx="38">
                  <c:v>423.08681970741441</c:v>
                </c:pt>
                <c:pt idx="39">
                  <c:v>423.08681970741441</c:v>
                </c:pt>
                <c:pt idx="40">
                  <c:v>5.7635215682799625</c:v>
                </c:pt>
                <c:pt idx="41">
                  <c:v>5.7635215682799625</c:v>
                </c:pt>
                <c:pt idx="42">
                  <c:v>5.7635215682799625</c:v>
                </c:pt>
                <c:pt idx="43">
                  <c:v>5.7635215682799625</c:v>
                </c:pt>
                <c:pt idx="44">
                  <c:v>5.7635215682799625</c:v>
                </c:pt>
                <c:pt idx="45">
                  <c:v>2.9465599339675984E-2</c:v>
                </c:pt>
                <c:pt idx="46">
                  <c:v>2.9465599339675984E-2</c:v>
                </c:pt>
                <c:pt idx="47">
                  <c:v>2.9465599339675984E-2</c:v>
                </c:pt>
                <c:pt idx="48">
                  <c:v>2.9465599339675984E-2</c:v>
                </c:pt>
                <c:pt idx="49">
                  <c:v>2.9465599339675984E-2</c:v>
                </c:pt>
                <c:pt idx="50">
                  <c:v>727.45625864561123</c:v>
                </c:pt>
                <c:pt idx="51">
                  <c:v>727.45625864561123</c:v>
                </c:pt>
                <c:pt idx="52">
                  <c:v>727.45625864561123</c:v>
                </c:pt>
                <c:pt idx="53">
                  <c:v>727.45625864561123</c:v>
                </c:pt>
                <c:pt idx="54">
                  <c:v>727.45625864561123</c:v>
                </c:pt>
                <c:pt idx="55">
                  <c:v>711.9376065362535</c:v>
                </c:pt>
                <c:pt idx="56">
                  <c:v>711.9376065362535</c:v>
                </c:pt>
                <c:pt idx="57">
                  <c:v>711.9376065362535</c:v>
                </c:pt>
                <c:pt idx="58">
                  <c:v>711.9376065362535</c:v>
                </c:pt>
                <c:pt idx="59">
                  <c:v>711.9376065362535</c:v>
                </c:pt>
                <c:pt idx="60">
                  <c:v>681.73100996963012</c:v>
                </c:pt>
                <c:pt idx="61">
                  <c:v>681.73100996963012</c:v>
                </c:pt>
                <c:pt idx="62">
                  <c:v>681.73100996963012</c:v>
                </c:pt>
                <c:pt idx="63">
                  <c:v>681.73100996963012</c:v>
                </c:pt>
                <c:pt idx="64">
                  <c:v>681.73100996963012</c:v>
                </c:pt>
                <c:pt idx="65">
                  <c:v>142.86837329392972</c:v>
                </c:pt>
                <c:pt idx="66">
                  <c:v>142.86837329392972</c:v>
                </c:pt>
                <c:pt idx="67">
                  <c:v>142.86837329392972</c:v>
                </c:pt>
                <c:pt idx="68">
                  <c:v>142.86837329392972</c:v>
                </c:pt>
                <c:pt idx="69">
                  <c:v>142.86837329392972</c:v>
                </c:pt>
                <c:pt idx="70">
                  <c:v>1.3254296690901357</c:v>
                </c:pt>
                <c:pt idx="71">
                  <c:v>1.3254296690901357</c:v>
                </c:pt>
                <c:pt idx="72">
                  <c:v>1.3254296690901357</c:v>
                </c:pt>
                <c:pt idx="73">
                  <c:v>1.3254296690901357</c:v>
                </c:pt>
                <c:pt idx="74">
                  <c:v>1.3254296690901357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1C2-42A6-AA21-E55467E755D6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'IA - continous data model (new)'!$S$2:$S$3</c:f>
              <c:numCache>
                <c:formatCode>0.00</c:formatCode>
                <c:ptCount val="2"/>
                <c:pt idx="0">
                  <c:v>0</c:v>
                </c:pt>
                <c:pt idx="1">
                  <c:v>1051</c:v>
                </c:pt>
              </c:numCache>
            </c:numRef>
          </c:xVal>
          <c:yVal>
            <c:numRef>
              <c:f>'IA - continous data model (new)'!$S$2:$S$3</c:f>
              <c:numCache>
                <c:formatCode>0.00</c:formatCode>
                <c:ptCount val="2"/>
                <c:pt idx="0">
                  <c:v>0</c:v>
                </c:pt>
                <c:pt idx="1">
                  <c:v>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1C2-42A6-AA21-E55467E75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870288"/>
        <c:axId val="1"/>
      </c:scatterChart>
      <c:valAx>
        <c:axId val="1546870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0001676515273652"/>
              <c:y val="0.876742383512919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4.8247231725264052E-2"/>
              <c:y val="0.388141159367698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4687028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0265849142939294"/>
          <c:y val="0.58449492234194622"/>
          <c:w val="0.18202364696349621"/>
          <c:h val="0.1735219300702653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SA to the complete data set</a:t>
            </a:r>
          </a:p>
        </c:rich>
      </c:tx>
      <c:layout>
        <c:manualLayout>
          <c:xMode val="edge"/>
          <c:yMode val="edge"/>
          <c:x val="0.12051129499818793"/>
          <c:y val="3.644773610094981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679412350521134"/>
          <c:y val="0.25513415270664874"/>
          <c:w val="0.68501157156864712"/>
          <c:h val="0.51938023943853495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(new)'!$I$227:$I$316</c:f>
              <c:numCache>
                <c:formatCode>General</c:formatCode>
                <c:ptCount val="90"/>
                <c:pt idx="0">
                  <c:v>8.3099125253546527E-2</c:v>
                </c:pt>
                <c:pt idx="1">
                  <c:v>8.3099125253546527E-2</c:v>
                </c:pt>
                <c:pt idx="2">
                  <c:v>8.3099125253546527E-2</c:v>
                </c:pt>
                <c:pt idx="3">
                  <c:v>8.3099125253546527E-2</c:v>
                </c:pt>
                <c:pt idx="4">
                  <c:v>8.3099125253546527E-2</c:v>
                </c:pt>
                <c:pt idx="5">
                  <c:v>0.16619825050709305</c:v>
                </c:pt>
                <c:pt idx="6">
                  <c:v>0.16619825050709305</c:v>
                </c:pt>
                <c:pt idx="7">
                  <c:v>0.16619825050709305</c:v>
                </c:pt>
                <c:pt idx="8">
                  <c:v>0.16619825050709305</c:v>
                </c:pt>
                <c:pt idx="9">
                  <c:v>0.16619825050709305</c:v>
                </c:pt>
                <c:pt idx="10">
                  <c:v>0.33239650101418611</c:v>
                </c:pt>
                <c:pt idx="11">
                  <c:v>0.33239650101418611</c:v>
                </c:pt>
                <c:pt idx="12">
                  <c:v>0.33239650101418611</c:v>
                </c:pt>
                <c:pt idx="13">
                  <c:v>0.33239650101418611</c:v>
                </c:pt>
                <c:pt idx="14">
                  <c:v>0.33239650101418611</c:v>
                </c:pt>
                <c:pt idx="15">
                  <c:v>0.66479300202837222</c:v>
                </c:pt>
                <c:pt idx="16">
                  <c:v>0.66479300202837222</c:v>
                </c:pt>
                <c:pt idx="17">
                  <c:v>0.66479300202837222</c:v>
                </c:pt>
                <c:pt idx="18">
                  <c:v>0.66479300202837222</c:v>
                </c:pt>
                <c:pt idx="19">
                  <c:v>0.66479300202837222</c:v>
                </c:pt>
                <c:pt idx="20">
                  <c:v>1.3295860040567444</c:v>
                </c:pt>
                <c:pt idx="21">
                  <c:v>1.3295860040567444</c:v>
                </c:pt>
                <c:pt idx="22">
                  <c:v>1.3295860040567444</c:v>
                </c:pt>
                <c:pt idx="23">
                  <c:v>1.3295860040567444</c:v>
                </c:pt>
                <c:pt idx="24">
                  <c:v>1.3295860040567444</c:v>
                </c:pt>
                <c:pt idx="25">
                  <c:v>0.23881087155478001</c:v>
                </c:pt>
                <c:pt idx="26">
                  <c:v>0.23881087155478001</c:v>
                </c:pt>
                <c:pt idx="27">
                  <c:v>0.23881087155478001</c:v>
                </c:pt>
                <c:pt idx="28">
                  <c:v>0.23881087155478001</c:v>
                </c:pt>
                <c:pt idx="29">
                  <c:v>0.23881087155478001</c:v>
                </c:pt>
                <c:pt idx="30">
                  <c:v>0.47762174310956002</c:v>
                </c:pt>
                <c:pt idx="31">
                  <c:v>0.47762174310956002</c:v>
                </c:pt>
                <c:pt idx="32">
                  <c:v>0.47762174310956002</c:v>
                </c:pt>
                <c:pt idx="33">
                  <c:v>0.47762174310956002</c:v>
                </c:pt>
                <c:pt idx="34">
                  <c:v>0.47762174310956002</c:v>
                </c:pt>
                <c:pt idx="35">
                  <c:v>0.95524348621912003</c:v>
                </c:pt>
                <c:pt idx="36">
                  <c:v>0.95524348621912003</c:v>
                </c:pt>
                <c:pt idx="37">
                  <c:v>0.95524348621912003</c:v>
                </c:pt>
                <c:pt idx="38">
                  <c:v>0.95524348621912003</c:v>
                </c:pt>
                <c:pt idx="39">
                  <c:v>0.95524348621912003</c:v>
                </c:pt>
                <c:pt idx="40">
                  <c:v>1.9104869724382401</c:v>
                </c:pt>
                <c:pt idx="41">
                  <c:v>1.9104869724382401</c:v>
                </c:pt>
                <c:pt idx="42">
                  <c:v>1.9104869724382401</c:v>
                </c:pt>
                <c:pt idx="43">
                  <c:v>1.9104869724382401</c:v>
                </c:pt>
                <c:pt idx="44">
                  <c:v>1.9104869724382401</c:v>
                </c:pt>
                <c:pt idx="45">
                  <c:v>3.8209739448764801</c:v>
                </c:pt>
                <c:pt idx="46">
                  <c:v>3.8209739448764801</c:v>
                </c:pt>
                <c:pt idx="47">
                  <c:v>3.8209739448764801</c:v>
                </c:pt>
                <c:pt idx="48">
                  <c:v>3.8209739448764801</c:v>
                </c:pt>
                <c:pt idx="49">
                  <c:v>3.8209739448764801</c:v>
                </c:pt>
                <c:pt idx="50">
                  <c:v>0.16095499840416327</c:v>
                </c:pt>
                <c:pt idx="51">
                  <c:v>0.16095499840416327</c:v>
                </c:pt>
                <c:pt idx="52">
                  <c:v>0.16095499840416327</c:v>
                </c:pt>
                <c:pt idx="53">
                  <c:v>0.16095499840416327</c:v>
                </c:pt>
                <c:pt idx="54">
                  <c:v>0.16095499840416327</c:v>
                </c:pt>
                <c:pt idx="55">
                  <c:v>0.32190999680832655</c:v>
                </c:pt>
                <c:pt idx="56">
                  <c:v>0.32190999680832655</c:v>
                </c:pt>
                <c:pt idx="57">
                  <c:v>0.32190999680832655</c:v>
                </c:pt>
                <c:pt idx="58">
                  <c:v>0.32190999680832655</c:v>
                </c:pt>
                <c:pt idx="59">
                  <c:v>0.32190999680832655</c:v>
                </c:pt>
                <c:pt idx="60">
                  <c:v>0.6438199936166531</c:v>
                </c:pt>
                <c:pt idx="61">
                  <c:v>0.6438199936166531</c:v>
                </c:pt>
                <c:pt idx="62">
                  <c:v>0.6438199936166531</c:v>
                </c:pt>
                <c:pt idx="63">
                  <c:v>0.6438199936166531</c:v>
                </c:pt>
                <c:pt idx="64">
                  <c:v>0.6438199936166531</c:v>
                </c:pt>
                <c:pt idx="65">
                  <c:v>1.2876399872333062</c:v>
                </c:pt>
                <c:pt idx="66">
                  <c:v>1.2876399872333062</c:v>
                </c:pt>
                <c:pt idx="67">
                  <c:v>1.2876399872333062</c:v>
                </c:pt>
                <c:pt idx="68">
                  <c:v>1.2876399872333062</c:v>
                </c:pt>
                <c:pt idx="69">
                  <c:v>1.2876399872333062</c:v>
                </c:pt>
                <c:pt idx="70">
                  <c:v>2.5752799744666124</c:v>
                </c:pt>
                <c:pt idx="71">
                  <c:v>2.5752799744666124</c:v>
                </c:pt>
                <c:pt idx="72">
                  <c:v>2.5752799744666124</c:v>
                </c:pt>
                <c:pt idx="73">
                  <c:v>2.5752799744666124</c:v>
                </c:pt>
                <c:pt idx="74">
                  <c:v>2.5752799744666124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'IA - continous data model (new)'!$J$227:$J$316</c:f>
              <c:numCache>
                <c:formatCode>0.00</c:formatCode>
                <c:ptCount val="90"/>
                <c:pt idx="0">
                  <c:v>34.760324987250897</c:v>
                </c:pt>
                <c:pt idx="1">
                  <c:v>57.760324987250897</c:v>
                </c:pt>
                <c:pt idx="2">
                  <c:v>102.7603249872509</c:v>
                </c:pt>
                <c:pt idx="3">
                  <c:v>34.760324987250897</c:v>
                </c:pt>
                <c:pt idx="4">
                  <c:v>25.760324987250897</c:v>
                </c:pt>
                <c:pt idx="5">
                  <c:v>107.22050766262669</c:v>
                </c:pt>
                <c:pt idx="6">
                  <c:v>53.220507662626687</c:v>
                </c:pt>
                <c:pt idx="7">
                  <c:v>-16.779492337373313</c:v>
                </c:pt>
                <c:pt idx="8">
                  <c:v>42.220507662626687</c:v>
                </c:pt>
                <c:pt idx="9">
                  <c:v>9.2205076626266873</c:v>
                </c:pt>
                <c:pt idx="10">
                  <c:v>-21.885741732971724</c:v>
                </c:pt>
                <c:pt idx="11">
                  <c:v>14.114258267028276</c:v>
                </c:pt>
                <c:pt idx="12">
                  <c:v>52.114258267028276</c:v>
                </c:pt>
                <c:pt idx="13">
                  <c:v>-53.885741732971724</c:v>
                </c:pt>
                <c:pt idx="14">
                  <c:v>-49.885741732971724</c:v>
                </c:pt>
                <c:pt idx="15">
                  <c:v>-119.71126048811084</c:v>
                </c:pt>
                <c:pt idx="16">
                  <c:v>195.28873951188916</c:v>
                </c:pt>
                <c:pt idx="17">
                  <c:v>-187.71126048811084</c:v>
                </c:pt>
                <c:pt idx="18">
                  <c:v>148.28873951188916</c:v>
                </c:pt>
                <c:pt idx="19">
                  <c:v>151.28873951188916</c:v>
                </c:pt>
                <c:pt idx="20">
                  <c:v>-13.37597350805521</c:v>
                </c:pt>
                <c:pt idx="21">
                  <c:v>46.62402649194479</c:v>
                </c:pt>
                <c:pt idx="22">
                  <c:v>86.62402649194479</c:v>
                </c:pt>
                <c:pt idx="23">
                  <c:v>-113.37597350805521</c:v>
                </c:pt>
                <c:pt idx="24">
                  <c:v>-113.37597350805521</c:v>
                </c:pt>
                <c:pt idx="25">
                  <c:v>83.349946874722491</c:v>
                </c:pt>
                <c:pt idx="26">
                  <c:v>59.349946874722491</c:v>
                </c:pt>
                <c:pt idx="27">
                  <c:v>-146.65005312527751</c:v>
                </c:pt>
                <c:pt idx="28">
                  <c:v>95.349946874722491</c:v>
                </c:pt>
                <c:pt idx="29">
                  <c:v>-5.650053125277509</c:v>
                </c:pt>
                <c:pt idx="30">
                  <c:v>52.787566696178601</c:v>
                </c:pt>
                <c:pt idx="31">
                  <c:v>-17.212433303821399</c:v>
                </c:pt>
                <c:pt idx="32">
                  <c:v>45.787566696178601</c:v>
                </c:pt>
                <c:pt idx="33">
                  <c:v>87.787566696178601</c:v>
                </c:pt>
                <c:pt idx="34">
                  <c:v>-21.212433303821399</c:v>
                </c:pt>
                <c:pt idx="35">
                  <c:v>59.913180292585594</c:v>
                </c:pt>
                <c:pt idx="36">
                  <c:v>10.913180292585594</c:v>
                </c:pt>
                <c:pt idx="37">
                  <c:v>-86.086819707414406</c:v>
                </c:pt>
                <c:pt idx="38">
                  <c:v>-63.086819707414406</c:v>
                </c:pt>
                <c:pt idx="39">
                  <c:v>-66.086819707414406</c:v>
                </c:pt>
                <c:pt idx="40">
                  <c:v>-1.7635215682799625</c:v>
                </c:pt>
                <c:pt idx="41">
                  <c:v>79.23647843172003</c:v>
                </c:pt>
                <c:pt idx="42">
                  <c:v>-2.7635215682799625</c:v>
                </c:pt>
                <c:pt idx="43">
                  <c:v>16.236478431720037</c:v>
                </c:pt>
                <c:pt idx="44">
                  <c:v>49.236478431720037</c:v>
                </c:pt>
                <c:pt idx="45">
                  <c:v>-2.9465599339675984E-2</c:v>
                </c:pt>
                <c:pt idx="46">
                  <c:v>-2.9465599339675984E-2</c:v>
                </c:pt>
                <c:pt idx="47">
                  <c:v>64.970534400660327</c:v>
                </c:pt>
                <c:pt idx="48">
                  <c:v>-2.9465599339675984E-2</c:v>
                </c:pt>
                <c:pt idx="49">
                  <c:v>-2.9465599339675984E-2</c:v>
                </c:pt>
                <c:pt idx="50">
                  <c:v>21.543741354388771</c:v>
                </c:pt>
                <c:pt idx="51">
                  <c:v>-24.456258645611229</c:v>
                </c:pt>
                <c:pt idx="52">
                  <c:v>-28.456258645611229</c:v>
                </c:pt>
                <c:pt idx="53">
                  <c:v>102.54374135438877</c:v>
                </c:pt>
                <c:pt idx="54">
                  <c:v>-65.456258645611229</c:v>
                </c:pt>
                <c:pt idx="55">
                  <c:v>-1.9376065362534973</c:v>
                </c:pt>
                <c:pt idx="56">
                  <c:v>-43.937606536253497</c:v>
                </c:pt>
                <c:pt idx="57">
                  <c:v>-118.9376065362535</c:v>
                </c:pt>
                <c:pt idx="58">
                  <c:v>20.062393463746503</c:v>
                </c:pt>
                <c:pt idx="59">
                  <c:v>118.0623934637465</c:v>
                </c:pt>
                <c:pt idx="60">
                  <c:v>8.2689900303698778</c:v>
                </c:pt>
                <c:pt idx="61">
                  <c:v>-71.731009969630122</c:v>
                </c:pt>
                <c:pt idx="62">
                  <c:v>17.268990030369878</c:v>
                </c:pt>
                <c:pt idx="63">
                  <c:v>-11.731009969630122</c:v>
                </c:pt>
                <c:pt idx="64">
                  <c:v>-120.73100996963012</c:v>
                </c:pt>
                <c:pt idx="65">
                  <c:v>40.131626706070278</c:v>
                </c:pt>
                <c:pt idx="66">
                  <c:v>-42.868373293929722</c:v>
                </c:pt>
                <c:pt idx="67">
                  <c:v>55.131626706070278</c:v>
                </c:pt>
                <c:pt idx="68">
                  <c:v>65.131626706070278</c:v>
                </c:pt>
                <c:pt idx="69">
                  <c:v>-77.868373293929722</c:v>
                </c:pt>
                <c:pt idx="70">
                  <c:v>2.6745703309098641</c:v>
                </c:pt>
                <c:pt idx="71">
                  <c:v>2.6745703309098641</c:v>
                </c:pt>
                <c:pt idx="72">
                  <c:v>6.6745703309098641</c:v>
                </c:pt>
                <c:pt idx="73">
                  <c:v>1.6745703309098643</c:v>
                </c:pt>
                <c:pt idx="74">
                  <c:v>3.6745703309098641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E0-4040-A59D-396B5162E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870784"/>
        <c:axId val="1"/>
      </c:scatterChart>
      <c:valAx>
        <c:axId val="1546870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47570248025600492"/>
              <c:y val="0.877023649929104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4.6513131402809375E-2"/>
              <c:y val="0.4123150146419948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4687078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Ratio Dependent Deviation
</a:t>
            </a:r>
          </a:p>
        </c:rich>
      </c:tx>
      <c:layout>
        <c:manualLayout>
          <c:xMode val="edge"/>
          <c:yMode val="edge"/>
          <c:x val="0.159046956559667"/>
          <c:y val="2.8847104024865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658744496171737"/>
          <c:y val="0.14423552012432803"/>
          <c:w val="0.65797508056191012"/>
          <c:h val="0.60578918452217767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(new)'!$C$45:$C$89</c:f>
              <c:numCache>
                <c:formatCode>0.00</c:formatCode>
                <c:ptCount val="45"/>
                <c:pt idx="0">
                  <c:v>861</c:v>
                </c:pt>
                <c:pt idx="1">
                  <c:v>884</c:v>
                </c:pt>
                <c:pt idx="2">
                  <c:v>763</c:v>
                </c:pt>
                <c:pt idx="3">
                  <c:v>822</c:v>
                </c:pt>
                <c:pt idx="4">
                  <c:v>1051</c:v>
                </c:pt>
                <c:pt idx="5">
                  <c:v>937</c:v>
                </c:pt>
                <c:pt idx="6">
                  <c:v>821</c:v>
                </c:pt>
                <c:pt idx="7">
                  <c:v>971</c:v>
                </c:pt>
                <c:pt idx="8">
                  <c:v>861</c:v>
                </c:pt>
                <c:pt idx="9">
                  <c:v>837</c:v>
                </c:pt>
                <c:pt idx="10">
                  <c:v>169</c:v>
                </c:pt>
                <c:pt idx="11">
                  <c:v>73</c:v>
                </c:pt>
                <c:pt idx="12">
                  <c:v>133</c:v>
                </c:pt>
                <c:pt idx="13">
                  <c:v>101</c:v>
                </c:pt>
                <c:pt idx="14">
                  <c:v>324</c:v>
                </c:pt>
                <c:pt idx="15">
                  <c:v>23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xVal>
          <c:yVal>
            <c:numRef>
              <c:f>'IA - continous data model (new)'!$L$45:$L$89</c:f>
              <c:numCache>
                <c:formatCode>0.00</c:formatCode>
                <c:ptCount val="45"/>
                <c:pt idx="0">
                  <c:v>811.5826024261878</c:v>
                </c:pt>
                <c:pt idx="1">
                  <c:v>811.5826024261878</c:v>
                </c:pt>
                <c:pt idx="2">
                  <c:v>811.5826024261878</c:v>
                </c:pt>
                <c:pt idx="3">
                  <c:v>811.5826024261878</c:v>
                </c:pt>
                <c:pt idx="4">
                  <c:v>811.5826024261878</c:v>
                </c:pt>
                <c:pt idx="5">
                  <c:v>790.42477411267657</c:v>
                </c:pt>
                <c:pt idx="6">
                  <c:v>790.42477411267657</c:v>
                </c:pt>
                <c:pt idx="7">
                  <c:v>790.42477411267657</c:v>
                </c:pt>
                <c:pt idx="8">
                  <c:v>790.42477411267657</c:v>
                </c:pt>
                <c:pt idx="9">
                  <c:v>790.42477411267657</c:v>
                </c:pt>
                <c:pt idx="10">
                  <c:v>115.93162265462612</c:v>
                </c:pt>
                <c:pt idx="11">
                  <c:v>115.93162265462612</c:v>
                </c:pt>
                <c:pt idx="12">
                  <c:v>115.93162265462612</c:v>
                </c:pt>
                <c:pt idx="13">
                  <c:v>115.93162265462612</c:v>
                </c:pt>
                <c:pt idx="14">
                  <c:v>115.93162265462612</c:v>
                </c:pt>
                <c:pt idx="15">
                  <c:v>0.60558221348923624</c:v>
                </c:pt>
                <c:pt idx="16">
                  <c:v>0.60558221348923624</c:v>
                </c:pt>
                <c:pt idx="17">
                  <c:v>0.60558221348923624</c:v>
                </c:pt>
                <c:pt idx="18">
                  <c:v>0.60558221348923624</c:v>
                </c:pt>
                <c:pt idx="19">
                  <c:v>0.60558221348923624</c:v>
                </c:pt>
                <c:pt idx="20">
                  <c:v>2.715554539627239E-3</c:v>
                </c:pt>
                <c:pt idx="21">
                  <c:v>2.715554539627239E-3</c:v>
                </c:pt>
                <c:pt idx="22">
                  <c:v>2.715554539627239E-3</c:v>
                </c:pt>
                <c:pt idx="23">
                  <c:v>2.715554539627239E-3</c:v>
                </c:pt>
                <c:pt idx="24">
                  <c:v>2.715554539627239E-3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3-4B20-9A56-757128247444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(new)'!$C$90:$C$134</c:f>
              <c:numCache>
                <c:formatCode>0.00</c:formatCode>
                <c:ptCount val="45"/>
                <c:pt idx="0">
                  <c:v>569</c:v>
                </c:pt>
                <c:pt idx="1">
                  <c:v>617</c:v>
                </c:pt>
                <c:pt idx="2">
                  <c:v>655</c:v>
                </c:pt>
                <c:pt idx="3">
                  <c:v>599</c:v>
                </c:pt>
                <c:pt idx="4">
                  <c:v>607</c:v>
                </c:pt>
                <c:pt idx="5">
                  <c:v>708</c:v>
                </c:pt>
                <c:pt idx="6">
                  <c:v>572</c:v>
                </c:pt>
                <c:pt idx="7">
                  <c:v>547</c:v>
                </c:pt>
                <c:pt idx="8">
                  <c:v>641</c:v>
                </c:pt>
                <c:pt idx="9">
                  <c:v>644</c:v>
                </c:pt>
                <c:pt idx="10">
                  <c:v>578</c:v>
                </c:pt>
                <c:pt idx="11">
                  <c:v>550</c:v>
                </c:pt>
                <c:pt idx="12">
                  <c:v>585</c:v>
                </c:pt>
                <c:pt idx="13">
                  <c:v>421</c:v>
                </c:pt>
                <c:pt idx="14">
                  <c:v>632</c:v>
                </c:pt>
                <c:pt idx="15">
                  <c:v>616</c:v>
                </c:pt>
                <c:pt idx="16">
                  <c:v>745</c:v>
                </c:pt>
                <c:pt idx="17">
                  <c:v>611</c:v>
                </c:pt>
                <c:pt idx="18">
                  <c:v>586</c:v>
                </c:pt>
                <c:pt idx="19">
                  <c:v>522</c:v>
                </c:pt>
                <c:pt idx="20">
                  <c:v>549</c:v>
                </c:pt>
                <c:pt idx="21">
                  <c:v>552</c:v>
                </c:pt>
                <c:pt idx="22">
                  <c:v>473</c:v>
                </c:pt>
                <c:pt idx="23">
                  <c:v>350</c:v>
                </c:pt>
                <c:pt idx="24">
                  <c:v>626</c:v>
                </c:pt>
              </c:numCache>
            </c:numRef>
          </c:xVal>
          <c:yVal>
            <c:numRef>
              <c:f>'IA - continous data model (new)'!$L$90:$L$134</c:f>
              <c:numCache>
                <c:formatCode>0.00</c:formatCode>
                <c:ptCount val="45"/>
                <c:pt idx="0">
                  <c:v>649.43620011497467</c:v>
                </c:pt>
                <c:pt idx="1">
                  <c:v>649.43620011497467</c:v>
                </c:pt>
                <c:pt idx="2">
                  <c:v>649.43620011497467</c:v>
                </c:pt>
                <c:pt idx="3">
                  <c:v>649.43620011497467</c:v>
                </c:pt>
                <c:pt idx="4">
                  <c:v>649.43620011497467</c:v>
                </c:pt>
                <c:pt idx="5">
                  <c:v>622.17461417988818</c:v>
                </c:pt>
                <c:pt idx="6">
                  <c:v>622.17461417988818</c:v>
                </c:pt>
                <c:pt idx="7">
                  <c:v>622.17461417988818</c:v>
                </c:pt>
                <c:pt idx="8">
                  <c:v>622.17461417988818</c:v>
                </c:pt>
                <c:pt idx="9">
                  <c:v>622.17461417988818</c:v>
                </c:pt>
                <c:pt idx="10">
                  <c:v>591.88263005014085</c:v>
                </c:pt>
                <c:pt idx="11">
                  <c:v>591.88263005014085</c:v>
                </c:pt>
                <c:pt idx="12">
                  <c:v>591.88263005014085</c:v>
                </c:pt>
                <c:pt idx="13">
                  <c:v>591.88263005014085</c:v>
                </c:pt>
                <c:pt idx="14">
                  <c:v>591.88263005014085</c:v>
                </c:pt>
                <c:pt idx="15">
                  <c:v>558.71724736088288</c:v>
                </c:pt>
                <c:pt idx="16">
                  <c:v>558.71724736088288</c:v>
                </c:pt>
                <c:pt idx="17">
                  <c:v>558.71724736088288</c:v>
                </c:pt>
                <c:pt idx="18">
                  <c:v>558.71724736088288</c:v>
                </c:pt>
                <c:pt idx="19">
                  <c:v>558.71724736088288</c:v>
                </c:pt>
                <c:pt idx="20">
                  <c:v>522.98840232445775</c:v>
                </c:pt>
                <c:pt idx="21">
                  <c:v>522.98840232445775</c:v>
                </c:pt>
                <c:pt idx="22">
                  <c:v>522.98840232445775</c:v>
                </c:pt>
                <c:pt idx="23">
                  <c:v>522.98840232445775</c:v>
                </c:pt>
                <c:pt idx="24">
                  <c:v>522.98840232445775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3-4B20-9A56-757128247444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(new)'!$C$135:$C$224</c:f>
              <c:numCache>
                <c:formatCode>0.00</c:formatCode>
                <c:ptCount val="90"/>
                <c:pt idx="0">
                  <c:v>820</c:v>
                </c:pt>
                <c:pt idx="1">
                  <c:v>843</c:v>
                </c:pt>
                <c:pt idx="2">
                  <c:v>888</c:v>
                </c:pt>
                <c:pt idx="3">
                  <c:v>820</c:v>
                </c:pt>
                <c:pt idx="4">
                  <c:v>811</c:v>
                </c:pt>
                <c:pt idx="5">
                  <c:v>886</c:v>
                </c:pt>
                <c:pt idx="6">
                  <c:v>832</c:v>
                </c:pt>
                <c:pt idx="7">
                  <c:v>762</c:v>
                </c:pt>
                <c:pt idx="8">
                  <c:v>821</c:v>
                </c:pt>
                <c:pt idx="9">
                  <c:v>788</c:v>
                </c:pt>
                <c:pt idx="10">
                  <c:v>749</c:v>
                </c:pt>
                <c:pt idx="11">
                  <c:v>785</c:v>
                </c:pt>
                <c:pt idx="12">
                  <c:v>823</c:v>
                </c:pt>
                <c:pt idx="13">
                  <c:v>717</c:v>
                </c:pt>
                <c:pt idx="14">
                  <c:v>721</c:v>
                </c:pt>
                <c:pt idx="15">
                  <c:v>636</c:v>
                </c:pt>
                <c:pt idx="16">
                  <c:v>951</c:v>
                </c:pt>
                <c:pt idx="17">
                  <c:v>568</c:v>
                </c:pt>
                <c:pt idx="18">
                  <c:v>904</c:v>
                </c:pt>
                <c:pt idx="19">
                  <c:v>907</c:v>
                </c:pt>
                <c:pt idx="20">
                  <c:v>287</c:v>
                </c:pt>
                <c:pt idx="21">
                  <c:v>347</c:v>
                </c:pt>
                <c:pt idx="22">
                  <c:v>387</c:v>
                </c:pt>
                <c:pt idx="23">
                  <c:v>187</c:v>
                </c:pt>
                <c:pt idx="24">
                  <c:v>187</c:v>
                </c:pt>
                <c:pt idx="25">
                  <c:v>789</c:v>
                </c:pt>
                <c:pt idx="26">
                  <c:v>765</c:v>
                </c:pt>
                <c:pt idx="27">
                  <c:v>559</c:v>
                </c:pt>
                <c:pt idx="28">
                  <c:v>801</c:v>
                </c:pt>
                <c:pt idx="29">
                  <c:v>700</c:v>
                </c:pt>
                <c:pt idx="30">
                  <c:v>739</c:v>
                </c:pt>
                <c:pt idx="31">
                  <c:v>669</c:v>
                </c:pt>
                <c:pt idx="32">
                  <c:v>732</c:v>
                </c:pt>
                <c:pt idx="33">
                  <c:v>774</c:v>
                </c:pt>
                <c:pt idx="34">
                  <c:v>665</c:v>
                </c:pt>
                <c:pt idx="35">
                  <c:v>483</c:v>
                </c:pt>
                <c:pt idx="36">
                  <c:v>434</c:v>
                </c:pt>
                <c:pt idx="37">
                  <c:v>337</c:v>
                </c:pt>
                <c:pt idx="38">
                  <c:v>360</c:v>
                </c:pt>
                <c:pt idx="39">
                  <c:v>357</c:v>
                </c:pt>
                <c:pt idx="40">
                  <c:v>4</c:v>
                </c:pt>
                <c:pt idx="41">
                  <c:v>85</c:v>
                </c:pt>
                <c:pt idx="42">
                  <c:v>3</c:v>
                </c:pt>
                <c:pt idx="43">
                  <c:v>22</c:v>
                </c:pt>
                <c:pt idx="44">
                  <c:v>55</c:v>
                </c:pt>
                <c:pt idx="45">
                  <c:v>0</c:v>
                </c:pt>
                <c:pt idx="46">
                  <c:v>0</c:v>
                </c:pt>
                <c:pt idx="47">
                  <c:v>65</c:v>
                </c:pt>
                <c:pt idx="48">
                  <c:v>0</c:v>
                </c:pt>
                <c:pt idx="49">
                  <c:v>0</c:v>
                </c:pt>
                <c:pt idx="50">
                  <c:v>749</c:v>
                </c:pt>
                <c:pt idx="51">
                  <c:v>703</c:v>
                </c:pt>
                <c:pt idx="52">
                  <c:v>699</c:v>
                </c:pt>
                <c:pt idx="53">
                  <c:v>830</c:v>
                </c:pt>
                <c:pt idx="54">
                  <c:v>662</c:v>
                </c:pt>
                <c:pt idx="55">
                  <c:v>710</c:v>
                </c:pt>
                <c:pt idx="56">
                  <c:v>668</c:v>
                </c:pt>
                <c:pt idx="57">
                  <c:v>593</c:v>
                </c:pt>
                <c:pt idx="58">
                  <c:v>732</c:v>
                </c:pt>
                <c:pt idx="59">
                  <c:v>830</c:v>
                </c:pt>
                <c:pt idx="60">
                  <c:v>690</c:v>
                </c:pt>
                <c:pt idx="61">
                  <c:v>610</c:v>
                </c:pt>
                <c:pt idx="62">
                  <c:v>699</c:v>
                </c:pt>
                <c:pt idx="63">
                  <c:v>670</c:v>
                </c:pt>
                <c:pt idx="64">
                  <c:v>561</c:v>
                </c:pt>
                <c:pt idx="65">
                  <c:v>183</c:v>
                </c:pt>
                <c:pt idx="66">
                  <c:v>100</c:v>
                </c:pt>
                <c:pt idx="67">
                  <c:v>198</c:v>
                </c:pt>
                <c:pt idx="68">
                  <c:v>208</c:v>
                </c:pt>
                <c:pt idx="69">
                  <c:v>65</c:v>
                </c:pt>
                <c:pt idx="70">
                  <c:v>4</c:v>
                </c:pt>
                <c:pt idx="71">
                  <c:v>4</c:v>
                </c:pt>
                <c:pt idx="72">
                  <c:v>8</c:v>
                </c:pt>
                <c:pt idx="73">
                  <c:v>3</c:v>
                </c:pt>
                <c:pt idx="74">
                  <c:v>5</c:v>
                </c:pt>
              </c:numCache>
            </c:numRef>
          </c:xVal>
          <c:yVal>
            <c:numRef>
              <c:f>'IA - continous data model (new)'!$L$135:$L$224</c:f>
              <c:numCache>
                <c:formatCode>0.00</c:formatCode>
                <c:ptCount val="90"/>
                <c:pt idx="0">
                  <c:v>787.6218810382677</c:v>
                </c:pt>
                <c:pt idx="1">
                  <c:v>787.6218810382677</c:v>
                </c:pt>
                <c:pt idx="2">
                  <c:v>787.6218810382677</c:v>
                </c:pt>
                <c:pt idx="3">
                  <c:v>787.6218810382677</c:v>
                </c:pt>
                <c:pt idx="4">
                  <c:v>787.6218810382677</c:v>
                </c:pt>
                <c:pt idx="5">
                  <c:v>780.71822719995123</c:v>
                </c:pt>
                <c:pt idx="6">
                  <c:v>780.71822719995123</c:v>
                </c:pt>
                <c:pt idx="7">
                  <c:v>780.71822719995123</c:v>
                </c:pt>
                <c:pt idx="8">
                  <c:v>780.71822719995123</c:v>
                </c:pt>
                <c:pt idx="9">
                  <c:v>780.71822719995123</c:v>
                </c:pt>
                <c:pt idx="10">
                  <c:v>772.04554826372942</c:v>
                </c:pt>
                <c:pt idx="11">
                  <c:v>772.04554826372942</c:v>
                </c:pt>
                <c:pt idx="12">
                  <c:v>772.04554826372942</c:v>
                </c:pt>
                <c:pt idx="13">
                  <c:v>772.04554826372942</c:v>
                </c:pt>
                <c:pt idx="14">
                  <c:v>772.04554826372942</c:v>
                </c:pt>
                <c:pt idx="15">
                  <c:v>755.89482618454747</c:v>
                </c:pt>
                <c:pt idx="16">
                  <c:v>755.89482618454747</c:v>
                </c:pt>
                <c:pt idx="17">
                  <c:v>755.89482618454747</c:v>
                </c:pt>
                <c:pt idx="18">
                  <c:v>755.89482618454747</c:v>
                </c:pt>
                <c:pt idx="19">
                  <c:v>755.89482618454747</c:v>
                </c:pt>
                <c:pt idx="20">
                  <c:v>305.46325611728537</c:v>
                </c:pt>
                <c:pt idx="21">
                  <c:v>305.46325611728537</c:v>
                </c:pt>
                <c:pt idx="22">
                  <c:v>305.46325611728537</c:v>
                </c:pt>
                <c:pt idx="23">
                  <c:v>305.46325611728537</c:v>
                </c:pt>
                <c:pt idx="24">
                  <c:v>305.46325611728537</c:v>
                </c:pt>
                <c:pt idx="25">
                  <c:v>709.173626862687</c:v>
                </c:pt>
                <c:pt idx="26">
                  <c:v>709.173626862687</c:v>
                </c:pt>
                <c:pt idx="27">
                  <c:v>709.173626862687</c:v>
                </c:pt>
                <c:pt idx="28">
                  <c:v>709.173626862687</c:v>
                </c:pt>
                <c:pt idx="29">
                  <c:v>709.173626862687</c:v>
                </c:pt>
                <c:pt idx="30">
                  <c:v>687.89974155601237</c:v>
                </c:pt>
                <c:pt idx="31">
                  <c:v>687.89974155601237</c:v>
                </c:pt>
                <c:pt idx="32">
                  <c:v>687.89974155601237</c:v>
                </c:pt>
                <c:pt idx="33">
                  <c:v>687.89974155601237</c:v>
                </c:pt>
                <c:pt idx="34">
                  <c:v>687.89974155601237</c:v>
                </c:pt>
                <c:pt idx="35">
                  <c:v>423.21741170962002</c:v>
                </c:pt>
                <c:pt idx="36">
                  <c:v>423.21741170962002</c:v>
                </c:pt>
                <c:pt idx="37">
                  <c:v>423.21741170962002</c:v>
                </c:pt>
                <c:pt idx="38">
                  <c:v>423.21741170962002</c:v>
                </c:pt>
                <c:pt idx="39">
                  <c:v>423.21741170962002</c:v>
                </c:pt>
                <c:pt idx="40">
                  <c:v>5.4770731403153725</c:v>
                </c:pt>
                <c:pt idx="41">
                  <c:v>5.4770731403153725</c:v>
                </c:pt>
                <c:pt idx="42">
                  <c:v>5.4770731403153725</c:v>
                </c:pt>
                <c:pt idx="43">
                  <c:v>5.4770731403153725</c:v>
                </c:pt>
                <c:pt idx="44">
                  <c:v>5.4770731403153725</c:v>
                </c:pt>
                <c:pt idx="45">
                  <c:v>2.639333256908459E-2</c:v>
                </c:pt>
                <c:pt idx="46">
                  <c:v>2.639333256908459E-2</c:v>
                </c:pt>
                <c:pt idx="47">
                  <c:v>2.639333256908459E-2</c:v>
                </c:pt>
                <c:pt idx="48">
                  <c:v>2.639333256908459E-2</c:v>
                </c:pt>
                <c:pt idx="49">
                  <c:v>2.639333256908459E-2</c:v>
                </c:pt>
                <c:pt idx="50">
                  <c:v>721.93890180128938</c:v>
                </c:pt>
                <c:pt idx="51">
                  <c:v>721.93890180128938</c:v>
                </c:pt>
                <c:pt idx="52">
                  <c:v>721.93890180128938</c:v>
                </c:pt>
                <c:pt idx="53">
                  <c:v>721.93890180128938</c:v>
                </c:pt>
                <c:pt idx="54">
                  <c:v>721.93890180128938</c:v>
                </c:pt>
                <c:pt idx="55">
                  <c:v>703.54795513207068</c:v>
                </c:pt>
                <c:pt idx="56">
                  <c:v>703.54795513207068</c:v>
                </c:pt>
                <c:pt idx="57">
                  <c:v>703.54795513207068</c:v>
                </c:pt>
                <c:pt idx="58">
                  <c:v>703.54795513207068</c:v>
                </c:pt>
                <c:pt idx="59">
                  <c:v>703.54795513207068</c:v>
                </c:pt>
                <c:pt idx="60">
                  <c:v>669.30052346239825</c:v>
                </c:pt>
                <c:pt idx="61">
                  <c:v>669.30052346239825</c:v>
                </c:pt>
                <c:pt idx="62">
                  <c:v>669.30052346239825</c:v>
                </c:pt>
                <c:pt idx="63">
                  <c:v>669.30052346239825</c:v>
                </c:pt>
                <c:pt idx="64">
                  <c:v>669.30052346239825</c:v>
                </c:pt>
                <c:pt idx="65">
                  <c:v>131.02351975170524</c:v>
                </c:pt>
                <c:pt idx="66">
                  <c:v>131.02351975170524</c:v>
                </c:pt>
                <c:pt idx="67">
                  <c:v>131.02351975170524</c:v>
                </c:pt>
                <c:pt idx="68">
                  <c:v>131.02351975170524</c:v>
                </c:pt>
                <c:pt idx="69">
                  <c:v>131.02351975170524</c:v>
                </c:pt>
                <c:pt idx="70">
                  <c:v>1.0485316503976818</c:v>
                </c:pt>
                <c:pt idx="71">
                  <c:v>1.0485316503976818</c:v>
                </c:pt>
                <c:pt idx="72">
                  <c:v>1.0485316503976818</c:v>
                </c:pt>
                <c:pt idx="73">
                  <c:v>1.0485316503976818</c:v>
                </c:pt>
                <c:pt idx="74">
                  <c:v>1.0485316503976818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73-4B20-9A56-757128247444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'IA - continous data model (new)'!$S$2:$S$3</c:f>
              <c:numCache>
                <c:formatCode>0.00</c:formatCode>
                <c:ptCount val="2"/>
                <c:pt idx="0">
                  <c:v>0</c:v>
                </c:pt>
                <c:pt idx="1">
                  <c:v>1051</c:v>
                </c:pt>
              </c:numCache>
            </c:numRef>
          </c:xVal>
          <c:yVal>
            <c:numRef>
              <c:f>'IA - continous data model (new)'!$S$2:$S$3</c:f>
              <c:numCache>
                <c:formatCode>0.00</c:formatCode>
                <c:ptCount val="2"/>
                <c:pt idx="0">
                  <c:v>0</c:v>
                </c:pt>
                <c:pt idx="1">
                  <c:v>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73-4B20-9A56-757128247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3360256"/>
        <c:axId val="1"/>
      </c:scatterChart>
      <c:valAx>
        <c:axId val="1303360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0110684943456729"/>
              <c:y val="0.8726248967521844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3.7038332349511496E-2"/>
              <c:y val="0.3726084269878473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30336025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0394968452763182"/>
          <c:y val="0.57934600583271756"/>
          <c:w val="0.18083421088290907"/>
          <c:h val="0.182698325490815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Level Dependent Deviation
</a:t>
            </a:r>
          </a:p>
        </c:rich>
      </c:tx>
      <c:layout>
        <c:manualLayout>
          <c:xMode val="edge"/>
          <c:yMode val="edge"/>
          <c:x val="0.18655679289841096"/>
          <c:y val="3.045781060009514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608017820173305"/>
          <c:y val="0.15736535476715827"/>
          <c:w val="0.67897995554886781"/>
          <c:h val="0.60661806111856176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(new)'!$C$45:$C$89</c:f>
              <c:numCache>
                <c:formatCode>0.00</c:formatCode>
                <c:ptCount val="45"/>
                <c:pt idx="0">
                  <c:v>861</c:v>
                </c:pt>
                <c:pt idx="1">
                  <c:v>884</c:v>
                </c:pt>
                <c:pt idx="2">
                  <c:v>763</c:v>
                </c:pt>
                <c:pt idx="3">
                  <c:v>822</c:v>
                </c:pt>
                <c:pt idx="4">
                  <c:v>1051</c:v>
                </c:pt>
                <c:pt idx="5">
                  <c:v>937</c:v>
                </c:pt>
                <c:pt idx="6">
                  <c:v>821</c:v>
                </c:pt>
                <c:pt idx="7">
                  <c:v>971</c:v>
                </c:pt>
                <c:pt idx="8">
                  <c:v>861</c:v>
                </c:pt>
                <c:pt idx="9">
                  <c:v>837</c:v>
                </c:pt>
                <c:pt idx="10">
                  <c:v>169</c:v>
                </c:pt>
                <c:pt idx="11">
                  <c:v>73</c:v>
                </c:pt>
                <c:pt idx="12">
                  <c:v>133</c:v>
                </c:pt>
                <c:pt idx="13">
                  <c:v>101</c:v>
                </c:pt>
                <c:pt idx="14">
                  <c:v>324</c:v>
                </c:pt>
                <c:pt idx="15">
                  <c:v>23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xVal>
          <c:yVal>
            <c:numRef>
              <c:f>'IA - continous data model (new)'!$O$45:$O$89</c:f>
              <c:numCache>
                <c:formatCode>0.00</c:formatCode>
                <c:ptCount val="45"/>
                <c:pt idx="0">
                  <c:v>806.13382537155826</c:v>
                </c:pt>
                <c:pt idx="1">
                  <c:v>806.13382537155826</c:v>
                </c:pt>
                <c:pt idx="2">
                  <c:v>806.13382537155826</c:v>
                </c:pt>
                <c:pt idx="3">
                  <c:v>806.13382537155826</c:v>
                </c:pt>
                <c:pt idx="4">
                  <c:v>806.13382537155826</c:v>
                </c:pt>
                <c:pt idx="5">
                  <c:v>779.70783333179122</c:v>
                </c:pt>
                <c:pt idx="6">
                  <c:v>779.70783333179122</c:v>
                </c:pt>
                <c:pt idx="7">
                  <c:v>779.70783333179122</c:v>
                </c:pt>
                <c:pt idx="8">
                  <c:v>779.70783333179122</c:v>
                </c:pt>
                <c:pt idx="9">
                  <c:v>779.70783333179122</c:v>
                </c:pt>
                <c:pt idx="10">
                  <c:v>136.81649198140025</c:v>
                </c:pt>
                <c:pt idx="11">
                  <c:v>136.81649198140025</c:v>
                </c:pt>
                <c:pt idx="12">
                  <c:v>136.81649198140025</c:v>
                </c:pt>
                <c:pt idx="13">
                  <c:v>136.81649198140025</c:v>
                </c:pt>
                <c:pt idx="14">
                  <c:v>136.81649198140025</c:v>
                </c:pt>
                <c:pt idx="15">
                  <c:v>1.1478858787300081</c:v>
                </c:pt>
                <c:pt idx="16">
                  <c:v>1.1478858787300081</c:v>
                </c:pt>
                <c:pt idx="17">
                  <c:v>1.1478858787300081</c:v>
                </c:pt>
                <c:pt idx="18">
                  <c:v>1.1478858787300081</c:v>
                </c:pt>
                <c:pt idx="19">
                  <c:v>1.1478858787300081</c:v>
                </c:pt>
                <c:pt idx="20">
                  <c:v>8.0193307473282981E-3</c:v>
                </c:pt>
                <c:pt idx="21">
                  <c:v>8.0193307473282981E-3</c:v>
                </c:pt>
                <c:pt idx="22">
                  <c:v>8.0193307473282981E-3</c:v>
                </c:pt>
                <c:pt idx="23">
                  <c:v>8.0193307473282981E-3</c:v>
                </c:pt>
                <c:pt idx="24">
                  <c:v>8.0193307473282981E-3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8E7-8C26-C91FA87213C6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(new)'!$C$90:$C$134</c:f>
              <c:numCache>
                <c:formatCode>0.00</c:formatCode>
                <c:ptCount val="45"/>
                <c:pt idx="0">
                  <c:v>569</c:v>
                </c:pt>
                <c:pt idx="1">
                  <c:v>617</c:v>
                </c:pt>
                <c:pt idx="2">
                  <c:v>655</c:v>
                </c:pt>
                <c:pt idx="3">
                  <c:v>599</c:v>
                </c:pt>
                <c:pt idx="4">
                  <c:v>607</c:v>
                </c:pt>
                <c:pt idx="5">
                  <c:v>708</c:v>
                </c:pt>
                <c:pt idx="6">
                  <c:v>572</c:v>
                </c:pt>
                <c:pt idx="7">
                  <c:v>547</c:v>
                </c:pt>
                <c:pt idx="8">
                  <c:v>641</c:v>
                </c:pt>
                <c:pt idx="9">
                  <c:v>644</c:v>
                </c:pt>
                <c:pt idx="10">
                  <c:v>578</c:v>
                </c:pt>
                <c:pt idx="11">
                  <c:v>550</c:v>
                </c:pt>
                <c:pt idx="12">
                  <c:v>585</c:v>
                </c:pt>
                <c:pt idx="13">
                  <c:v>421</c:v>
                </c:pt>
                <c:pt idx="14">
                  <c:v>632</c:v>
                </c:pt>
                <c:pt idx="15">
                  <c:v>616</c:v>
                </c:pt>
                <c:pt idx="16">
                  <c:v>745</c:v>
                </c:pt>
                <c:pt idx="17">
                  <c:v>611</c:v>
                </c:pt>
                <c:pt idx="18">
                  <c:v>586</c:v>
                </c:pt>
                <c:pt idx="19">
                  <c:v>522</c:v>
                </c:pt>
                <c:pt idx="20">
                  <c:v>549</c:v>
                </c:pt>
                <c:pt idx="21">
                  <c:v>552</c:v>
                </c:pt>
                <c:pt idx="22">
                  <c:v>473</c:v>
                </c:pt>
                <c:pt idx="23">
                  <c:v>350</c:v>
                </c:pt>
                <c:pt idx="24">
                  <c:v>626</c:v>
                </c:pt>
              </c:numCache>
            </c:numRef>
          </c:xVal>
          <c:yVal>
            <c:numRef>
              <c:f>'IA - continous data model (new)'!$O$90:$O$134</c:f>
              <c:numCache>
                <c:formatCode>0.00</c:formatCode>
                <c:ptCount val="45"/>
                <c:pt idx="0">
                  <c:v>630.22207624077748</c:v>
                </c:pt>
                <c:pt idx="1">
                  <c:v>630.22207624077748</c:v>
                </c:pt>
                <c:pt idx="2">
                  <c:v>630.22207624077748</c:v>
                </c:pt>
                <c:pt idx="3">
                  <c:v>630.22207624077748</c:v>
                </c:pt>
                <c:pt idx="4">
                  <c:v>630.22207624077748</c:v>
                </c:pt>
                <c:pt idx="5">
                  <c:v>608.28589902141982</c:v>
                </c:pt>
                <c:pt idx="6">
                  <c:v>608.28589902141982</c:v>
                </c:pt>
                <c:pt idx="7">
                  <c:v>608.28589902141982</c:v>
                </c:pt>
                <c:pt idx="8">
                  <c:v>608.28589902141982</c:v>
                </c:pt>
                <c:pt idx="9">
                  <c:v>608.28589902141982</c:v>
                </c:pt>
                <c:pt idx="10">
                  <c:v>584.57869496500473</c:v>
                </c:pt>
                <c:pt idx="11">
                  <c:v>584.57869496500473</c:v>
                </c:pt>
                <c:pt idx="12">
                  <c:v>584.57869496500473</c:v>
                </c:pt>
                <c:pt idx="13">
                  <c:v>584.57869496500473</c:v>
                </c:pt>
                <c:pt idx="14">
                  <c:v>584.57869496500473</c:v>
                </c:pt>
                <c:pt idx="15">
                  <c:v>559.18655349969868</c:v>
                </c:pt>
                <c:pt idx="16">
                  <c:v>559.18655349969868</c:v>
                </c:pt>
                <c:pt idx="17">
                  <c:v>559.18655349969868</c:v>
                </c:pt>
                <c:pt idx="18">
                  <c:v>559.18655349969868</c:v>
                </c:pt>
                <c:pt idx="19">
                  <c:v>559.18655349969868</c:v>
                </c:pt>
                <c:pt idx="20">
                  <c:v>532.24999948482241</c:v>
                </c:pt>
                <c:pt idx="21">
                  <c:v>532.24999948482241</c:v>
                </c:pt>
                <c:pt idx="22">
                  <c:v>532.24999948482241</c:v>
                </c:pt>
                <c:pt idx="23">
                  <c:v>532.24999948482241</c:v>
                </c:pt>
                <c:pt idx="24">
                  <c:v>532.24999948482241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13-48E7-8C26-C91FA87213C6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continous data model (new)'!$C$135:$C$224</c:f>
              <c:numCache>
                <c:formatCode>0.00</c:formatCode>
                <c:ptCount val="90"/>
                <c:pt idx="0">
                  <c:v>820</c:v>
                </c:pt>
                <c:pt idx="1">
                  <c:v>843</c:v>
                </c:pt>
                <c:pt idx="2">
                  <c:v>888</c:v>
                </c:pt>
                <c:pt idx="3">
                  <c:v>820</c:v>
                </c:pt>
                <c:pt idx="4">
                  <c:v>811</c:v>
                </c:pt>
                <c:pt idx="5">
                  <c:v>886</c:v>
                </c:pt>
                <c:pt idx="6">
                  <c:v>832</c:v>
                </c:pt>
                <c:pt idx="7">
                  <c:v>762</c:v>
                </c:pt>
                <c:pt idx="8">
                  <c:v>821</c:v>
                </c:pt>
                <c:pt idx="9">
                  <c:v>788</c:v>
                </c:pt>
                <c:pt idx="10">
                  <c:v>749</c:v>
                </c:pt>
                <c:pt idx="11">
                  <c:v>785</c:v>
                </c:pt>
                <c:pt idx="12">
                  <c:v>823</c:v>
                </c:pt>
                <c:pt idx="13">
                  <c:v>717</c:v>
                </c:pt>
                <c:pt idx="14">
                  <c:v>721</c:v>
                </c:pt>
                <c:pt idx="15">
                  <c:v>636</c:v>
                </c:pt>
                <c:pt idx="16">
                  <c:v>951</c:v>
                </c:pt>
                <c:pt idx="17">
                  <c:v>568</c:v>
                </c:pt>
                <c:pt idx="18">
                  <c:v>904</c:v>
                </c:pt>
                <c:pt idx="19">
                  <c:v>907</c:v>
                </c:pt>
                <c:pt idx="20">
                  <c:v>287</c:v>
                </c:pt>
                <c:pt idx="21">
                  <c:v>347</c:v>
                </c:pt>
                <c:pt idx="22">
                  <c:v>387</c:v>
                </c:pt>
                <c:pt idx="23">
                  <c:v>187</c:v>
                </c:pt>
                <c:pt idx="24">
                  <c:v>187</c:v>
                </c:pt>
                <c:pt idx="25">
                  <c:v>789</c:v>
                </c:pt>
                <c:pt idx="26">
                  <c:v>765</c:v>
                </c:pt>
                <c:pt idx="27">
                  <c:v>559</c:v>
                </c:pt>
                <c:pt idx="28">
                  <c:v>801</c:v>
                </c:pt>
                <c:pt idx="29">
                  <c:v>700</c:v>
                </c:pt>
                <c:pt idx="30">
                  <c:v>739</c:v>
                </c:pt>
                <c:pt idx="31">
                  <c:v>669</c:v>
                </c:pt>
                <c:pt idx="32">
                  <c:v>732</c:v>
                </c:pt>
                <c:pt idx="33">
                  <c:v>774</c:v>
                </c:pt>
                <c:pt idx="34">
                  <c:v>665</c:v>
                </c:pt>
                <c:pt idx="35">
                  <c:v>483</c:v>
                </c:pt>
                <c:pt idx="36">
                  <c:v>434</c:v>
                </c:pt>
                <c:pt idx="37">
                  <c:v>337</c:v>
                </c:pt>
                <c:pt idx="38">
                  <c:v>360</c:v>
                </c:pt>
                <c:pt idx="39">
                  <c:v>357</c:v>
                </c:pt>
                <c:pt idx="40">
                  <c:v>4</c:v>
                </c:pt>
                <c:pt idx="41">
                  <c:v>85</c:v>
                </c:pt>
                <c:pt idx="42">
                  <c:v>3</c:v>
                </c:pt>
                <c:pt idx="43">
                  <c:v>22</c:v>
                </c:pt>
                <c:pt idx="44">
                  <c:v>55</c:v>
                </c:pt>
                <c:pt idx="45">
                  <c:v>0</c:v>
                </c:pt>
                <c:pt idx="46">
                  <c:v>0</c:v>
                </c:pt>
                <c:pt idx="47">
                  <c:v>65</c:v>
                </c:pt>
                <c:pt idx="48">
                  <c:v>0</c:v>
                </c:pt>
                <c:pt idx="49">
                  <c:v>0</c:v>
                </c:pt>
                <c:pt idx="50">
                  <c:v>749</c:v>
                </c:pt>
                <c:pt idx="51">
                  <c:v>703</c:v>
                </c:pt>
                <c:pt idx="52">
                  <c:v>699</c:v>
                </c:pt>
                <c:pt idx="53">
                  <c:v>830</c:v>
                </c:pt>
                <c:pt idx="54">
                  <c:v>662</c:v>
                </c:pt>
                <c:pt idx="55">
                  <c:v>710</c:v>
                </c:pt>
                <c:pt idx="56">
                  <c:v>668</c:v>
                </c:pt>
                <c:pt idx="57">
                  <c:v>593</c:v>
                </c:pt>
                <c:pt idx="58">
                  <c:v>732</c:v>
                </c:pt>
                <c:pt idx="59">
                  <c:v>830</c:v>
                </c:pt>
                <c:pt idx="60">
                  <c:v>690</c:v>
                </c:pt>
                <c:pt idx="61">
                  <c:v>610</c:v>
                </c:pt>
                <c:pt idx="62">
                  <c:v>699</c:v>
                </c:pt>
                <c:pt idx="63">
                  <c:v>670</c:v>
                </c:pt>
                <c:pt idx="64">
                  <c:v>561</c:v>
                </c:pt>
                <c:pt idx="65">
                  <c:v>183</c:v>
                </c:pt>
                <c:pt idx="66">
                  <c:v>100</c:v>
                </c:pt>
                <c:pt idx="67">
                  <c:v>198</c:v>
                </c:pt>
                <c:pt idx="68">
                  <c:v>208</c:v>
                </c:pt>
                <c:pt idx="69">
                  <c:v>65</c:v>
                </c:pt>
                <c:pt idx="70">
                  <c:v>4</c:v>
                </c:pt>
                <c:pt idx="71">
                  <c:v>4</c:v>
                </c:pt>
                <c:pt idx="72">
                  <c:v>8</c:v>
                </c:pt>
                <c:pt idx="73">
                  <c:v>3</c:v>
                </c:pt>
                <c:pt idx="74">
                  <c:v>5</c:v>
                </c:pt>
              </c:numCache>
            </c:numRef>
          </c:xVal>
          <c:yVal>
            <c:numRef>
              <c:f>'IA - continous data model (new)'!$O$135:$O$224</c:f>
              <c:numCache>
                <c:formatCode>0.00</c:formatCode>
                <c:ptCount val="90"/>
                <c:pt idx="0">
                  <c:v>793.31756422480942</c:v>
                </c:pt>
                <c:pt idx="1">
                  <c:v>793.31756422480942</c:v>
                </c:pt>
                <c:pt idx="2">
                  <c:v>793.31756422480942</c:v>
                </c:pt>
                <c:pt idx="3">
                  <c:v>793.31756422480942</c:v>
                </c:pt>
                <c:pt idx="4">
                  <c:v>793.31756422480942</c:v>
                </c:pt>
                <c:pt idx="5">
                  <c:v>789.33221882784335</c:v>
                </c:pt>
                <c:pt idx="6">
                  <c:v>789.33221882784335</c:v>
                </c:pt>
                <c:pt idx="7">
                  <c:v>789.33221882784335</c:v>
                </c:pt>
                <c:pt idx="8">
                  <c:v>789.33221882784335</c:v>
                </c:pt>
                <c:pt idx="9">
                  <c:v>789.33221882784335</c:v>
                </c:pt>
                <c:pt idx="10">
                  <c:v>784.16267170477954</c:v>
                </c:pt>
                <c:pt idx="11">
                  <c:v>784.16267170477954</c:v>
                </c:pt>
                <c:pt idx="12">
                  <c:v>784.16267170477954</c:v>
                </c:pt>
                <c:pt idx="13">
                  <c:v>784.16267170477954</c:v>
                </c:pt>
                <c:pt idx="14">
                  <c:v>784.16267170477954</c:v>
                </c:pt>
                <c:pt idx="15">
                  <c:v>771.85704666810693</c:v>
                </c:pt>
                <c:pt idx="16">
                  <c:v>771.85704666810693</c:v>
                </c:pt>
                <c:pt idx="17">
                  <c:v>771.85704666810693</c:v>
                </c:pt>
                <c:pt idx="18">
                  <c:v>771.85704666810693</c:v>
                </c:pt>
                <c:pt idx="19">
                  <c:v>771.85704666810693</c:v>
                </c:pt>
                <c:pt idx="20">
                  <c:v>276.46522933422966</c:v>
                </c:pt>
                <c:pt idx="21">
                  <c:v>276.46522933422966</c:v>
                </c:pt>
                <c:pt idx="22">
                  <c:v>276.46522933422966</c:v>
                </c:pt>
                <c:pt idx="23">
                  <c:v>276.46522933422966</c:v>
                </c:pt>
                <c:pt idx="24">
                  <c:v>276.46522933422966</c:v>
                </c:pt>
                <c:pt idx="25">
                  <c:v>698.67050554051514</c:v>
                </c:pt>
                <c:pt idx="26">
                  <c:v>698.67050554051514</c:v>
                </c:pt>
                <c:pt idx="27">
                  <c:v>698.67050554051514</c:v>
                </c:pt>
                <c:pt idx="28">
                  <c:v>698.67050554051514</c:v>
                </c:pt>
                <c:pt idx="29">
                  <c:v>698.67050554051514</c:v>
                </c:pt>
                <c:pt idx="30">
                  <c:v>680.12647898493015</c:v>
                </c:pt>
                <c:pt idx="31">
                  <c:v>680.12647898493015</c:v>
                </c:pt>
                <c:pt idx="32">
                  <c:v>680.12647898493015</c:v>
                </c:pt>
                <c:pt idx="33">
                  <c:v>680.12647898493015</c:v>
                </c:pt>
                <c:pt idx="34">
                  <c:v>680.12647898493015</c:v>
                </c:pt>
                <c:pt idx="35">
                  <c:v>429.05645283821957</c:v>
                </c:pt>
                <c:pt idx="36">
                  <c:v>429.05645283821957</c:v>
                </c:pt>
                <c:pt idx="37">
                  <c:v>429.05645283821957</c:v>
                </c:pt>
                <c:pt idx="38">
                  <c:v>429.05645283821957</c:v>
                </c:pt>
                <c:pt idx="39">
                  <c:v>429.05645283821957</c:v>
                </c:pt>
                <c:pt idx="40">
                  <c:v>8.4350674053131218</c:v>
                </c:pt>
                <c:pt idx="41">
                  <c:v>8.4350674053131218</c:v>
                </c:pt>
                <c:pt idx="42">
                  <c:v>8.4350674053131218</c:v>
                </c:pt>
                <c:pt idx="43">
                  <c:v>8.4350674053131218</c:v>
                </c:pt>
                <c:pt idx="44">
                  <c:v>8.4350674053131218</c:v>
                </c:pt>
                <c:pt idx="45">
                  <c:v>6.3917294188478593E-2</c:v>
                </c:pt>
                <c:pt idx="46">
                  <c:v>6.3917294188478593E-2</c:v>
                </c:pt>
                <c:pt idx="47">
                  <c:v>6.3917294188478593E-2</c:v>
                </c:pt>
                <c:pt idx="48">
                  <c:v>6.3917294188478593E-2</c:v>
                </c:pt>
                <c:pt idx="49">
                  <c:v>6.3917294188478593E-2</c:v>
                </c:pt>
                <c:pt idx="50">
                  <c:v>732.19512147065609</c:v>
                </c:pt>
                <c:pt idx="51">
                  <c:v>732.19512147065609</c:v>
                </c:pt>
                <c:pt idx="52">
                  <c:v>732.19512147065609</c:v>
                </c:pt>
                <c:pt idx="53">
                  <c:v>732.19512147065609</c:v>
                </c:pt>
                <c:pt idx="54">
                  <c:v>732.19512147065609</c:v>
                </c:pt>
                <c:pt idx="55">
                  <c:v>718.72965444109059</c:v>
                </c:pt>
                <c:pt idx="56">
                  <c:v>718.72965444109059</c:v>
                </c:pt>
                <c:pt idx="57">
                  <c:v>718.72965444109059</c:v>
                </c:pt>
                <c:pt idx="58">
                  <c:v>718.72965444109059</c:v>
                </c:pt>
                <c:pt idx="59">
                  <c:v>718.72965444109059</c:v>
                </c:pt>
                <c:pt idx="60">
                  <c:v>688.66733125536689</c:v>
                </c:pt>
                <c:pt idx="61">
                  <c:v>688.66733125536689</c:v>
                </c:pt>
                <c:pt idx="62">
                  <c:v>688.66733125536689</c:v>
                </c:pt>
                <c:pt idx="63">
                  <c:v>688.66733125536689</c:v>
                </c:pt>
                <c:pt idx="64">
                  <c:v>688.66733125536689</c:v>
                </c:pt>
                <c:pt idx="65">
                  <c:v>152.54075515223133</c:v>
                </c:pt>
                <c:pt idx="66">
                  <c:v>152.54075515223133</c:v>
                </c:pt>
                <c:pt idx="67">
                  <c:v>152.54075515223133</c:v>
                </c:pt>
                <c:pt idx="68">
                  <c:v>152.54075515223133</c:v>
                </c:pt>
                <c:pt idx="69">
                  <c:v>152.54075515223133</c:v>
                </c:pt>
                <c:pt idx="70">
                  <c:v>1.7745203884759686</c:v>
                </c:pt>
                <c:pt idx="71">
                  <c:v>1.7745203884759686</c:v>
                </c:pt>
                <c:pt idx="72">
                  <c:v>1.7745203884759686</c:v>
                </c:pt>
                <c:pt idx="73">
                  <c:v>1.7745203884759686</c:v>
                </c:pt>
                <c:pt idx="74">
                  <c:v>1.7745203884759686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13-48E7-8C26-C91FA87213C6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'IA - continous data model (new)'!$S$2:$S$3</c:f>
              <c:numCache>
                <c:formatCode>0.00</c:formatCode>
                <c:ptCount val="2"/>
                <c:pt idx="0">
                  <c:v>0</c:v>
                </c:pt>
                <c:pt idx="1">
                  <c:v>1051</c:v>
                </c:pt>
              </c:numCache>
            </c:numRef>
          </c:xVal>
          <c:yVal>
            <c:numRef>
              <c:f>'IA - continous data model (new)'!$S$2:$S$3</c:f>
              <c:numCache>
                <c:formatCode>0.00</c:formatCode>
                <c:ptCount val="2"/>
                <c:pt idx="0">
                  <c:v>0</c:v>
                </c:pt>
                <c:pt idx="1">
                  <c:v>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E13-48E7-8C26-C91FA8721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3356288"/>
        <c:axId val="1"/>
      </c:scatterChart>
      <c:valAx>
        <c:axId val="13033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49242316265045682"/>
              <c:y val="0.878200205636076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3.4708240539239252E-2"/>
              <c:y val="0.383260783384530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30335628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79828953240250278"/>
          <c:y val="0.55839319433507772"/>
          <c:w val="0.1800489977973036"/>
          <c:h val="0.192899467133935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IA</a:t>
            </a:r>
          </a:p>
        </c:rich>
      </c:tx>
      <c:layout>
        <c:manualLayout>
          <c:xMode val="edge"/>
          <c:yMode val="edge"/>
          <c:x val="0.31684234807611616"/>
          <c:y val="3.76482834524646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01054088456697"/>
          <c:y val="0.19059443497810238"/>
          <c:w val="0.7643821647336303"/>
          <c:h val="0.607078570670992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'IA - continous data model (new)'!$A$25:$A$89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</c:numCache>
            </c:numRef>
          </c:xVal>
          <c:yVal>
            <c:numRef>
              <c:f>'IA - continous data model (new)'!$C$25:$C$89</c:f>
              <c:numCache>
                <c:formatCode>0.00</c:formatCode>
                <c:ptCount val="65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0">
                  <c:v>861</c:v>
                </c:pt>
                <c:pt idx="21">
                  <c:v>884</c:v>
                </c:pt>
                <c:pt idx="22">
                  <c:v>763</c:v>
                </c:pt>
                <c:pt idx="23">
                  <c:v>822</c:v>
                </c:pt>
                <c:pt idx="24">
                  <c:v>1051</c:v>
                </c:pt>
                <c:pt idx="25">
                  <c:v>937</c:v>
                </c:pt>
                <c:pt idx="26">
                  <c:v>821</c:v>
                </c:pt>
                <c:pt idx="27">
                  <c:v>971</c:v>
                </c:pt>
                <c:pt idx="28">
                  <c:v>861</c:v>
                </c:pt>
                <c:pt idx="29">
                  <c:v>837</c:v>
                </c:pt>
                <c:pt idx="30">
                  <c:v>169</c:v>
                </c:pt>
                <c:pt idx="31">
                  <c:v>73</c:v>
                </c:pt>
                <c:pt idx="32">
                  <c:v>133</c:v>
                </c:pt>
                <c:pt idx="33">
                  <c:v>101</c:v>
                </c:pt>
                <c:pt idx="34">
                  <c:v>324</c:v>
                </c:pt>
                <c:pt idx="35">
                  <c:v>23</c:v>
                </c:pt>
                <c:pt idx="36">
                  <c:v>3</c:v>
                </c:pt>
                <c:pt idx="37">
                  <c:v>0</c:v>
                </c:pt>
                <c:pt idx="38">
                  <c:v>0</c:v>
                </c:pt>
                <c:pt idx="39">
                  <c:v>8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E9-4405-94B4-6AD2D20DCA7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'IA - continous data model (new)'!$AC$4:$AC$16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>
                  <c:v>0.52</c:v>
                </c:pt>
              </c:numCache>
            </c:numRef>
          </c:xVal>
          <c:yVal>
            <c:numRef>
              <c:f>'IA - continous data model (new)'!$AD$4:$AD$16</c:f>
              <c:numCache>
                <c:formatCode>General</c:formatCode>
                <c:ptCount val="13"/>
                <c:pt idx="0">
                  <c:v>793.92287987962777</c:v>
                </c:pt>
                <c:pt idx="1">
                  <c:v>793.10724665041357</c:v>
                </c:pt>
                <c:pt idx="2">
                  <c:v>789.49538695358331</c:v>
                </c:pt>
                <c:pt idx="3">
                  <c:v>770.36426805632925</c:v>
                </c:pt>
                <c:pt idx="4">
                  <c:v>680.44932965420151</c:v>
                </c:pt>
                <c:pt idx="5">
                  <c:v>415.80197591552707</c:v>
                </c:pt>
                <c:pt idx="6">
                  <c:v>133.23208664664779</c:v>
                </c:pt>
                <c:pt idx="7">
                  <c:v>28.312178235500383</c:v>
                </c:pt>
                <c:pt idx="8">
                  <c:v>5.3476519303084986</c:v>
                </c:pt>
                <c:pt idx="9">
                  <c:v>0.98608258230373724</c:v>
                </c:pt>
                <c:pt idx="10">
                  <c:v>0.18101256287924461</c:v>
                </c:pt>
                <c:pt idx="11">
                  <c:v>3.3200475099985985E-2</c:v>
                </c:pt>
                <c:pt idx="12">
                  <c:v>6.0885495287262247E-3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E9-4405-94B4-6AD2D20DC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3360752"/>
        <c:axId val="1"/>
      </c:scatterChart>
      <c:valAx>
        <c:axId val="1303360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496749224631021"/>
              <c:y val="0.88238164341714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4.55460875359417E-2"/>
              <c:y val="0.404719047113995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30336075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IA</a:t>
            </a:r>
          </a:p>
        </c:rich>
      </c:tx>
      <c:layout>
        <c:manualLayout>
          <c:xMode val="edge"/>
          <c:yMode val="edge"/>
          <c:x val="0.29935857465093851"/>
          <c:y val="3.84628053664874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211135860616247"/>
          <c:y val="0.22116113085730296"/>
          <c:w val="0.718026726155512"/>
          <c:h val="0.57934600583271756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('IA - continous data model (new)'!$B$25:$B$44,'IA - continous data model (new)'!$B$90:$B$134)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</c:numCache>
            </c:numRef>
          </c:xVal>
          <c:yVal>
            <c:numRef>
              <c:f>('IA - continous data model (new)'!$C$25:$C$44,'IA - continous data model (new)'!$C$90:$C$134)</c:f>
              <c:numCache>
                <c:formatCode>0.00</c:formatCode>
                <c:ptCount val="65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0">
                  <c:v>569</c:v>
                </c:pt>
                <c:pt idx="21">
                  <c:v>617</c:v>
                </c:pt>
                <c:pt idx="22">
                  <c:v>655</c:v>
                </c:pt>
                <c:pt idx="23">
                  <c:v>599</c:v>
                </c:pt>
                <c:pt idx="24">
                  <c:v>607</c:v>
                </c:pt>
                <c:pt idx="25">
                  <c:v>708</c:v>
                </c:pt>
                <c:pt idx="26">
                  <c:v>572</c:v>
                </c:pt>
                <c:pt idx="27">
                  <c:v>547</c:v>
                </c:pt>
                <c:pt idx="28">
                  <c:v>641</c:v>
                </c:pt>
                <c:pt idx="29">
                  <c:v>644</c:v>
                </c:pt>
                <c:pt idx="30">
                  <c:v>578</c:v>
                </c:pt>
                <c:pt idx="31">
                  <c:v>550</c:v>
                </c:pt>
                <c:pt idx="32">
                  <c:v>585</c:v>
                </c:pt>
                <c:pt idx="33">
                  <c:v>421</c:v>
                </c:pt>
                <c:pt idx="34">
                  <c:v>632</c:v>
                </c:pt>
                <c:pt idx="35">
                  <c:v>616</c:v>
                </c:pt>
                <c:pt idx="36">
                  <c:v>745</c:v>
                </c:pt>
                <c:pt idx="37">
                  <c:v>611</c:v>
                </c:pt>
                <c:pt idx="38">
                  <c:v>586</c:v>
                </c:pt>
                <c:pt idx="39">
                  <c:v>522</c:v>
                </c:pt>
                <c:pt idx="40">
                  <c:v>549</c:v>
                </c:pt>
                <c:pt idx="41">
                  <c:v>552</c:v>
                </c:pt>
                <c:pt idx="42">
                  <c:v>473</c:v>
                </c:pt>
                <c:pt idx="43">
                  <c:v>350</c:v>
                </c:pt>
                <c:pt idx="44">
                  <c:v>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7D-4510-965B-49F0F4E0F892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'IA - continous data model (new)'!$AJ$4:$AJ$16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>
                  <c:v>5.2</c:v>
                </c:pt>
              </c:numCache>
            </c:numRef>
          </c:xVal>
          <c:yVal>
            <c:numRef>
              <c:f>'IA - continous data model (new)'!$AK$4:$AK$16</c:f>
              <c:numCache>
                <c:formatCode>General</c:formatCode>
                <c:ptCount val="13"/>
                <c:pt idx="0">
                  <c:v>793.92287987962777</c:v>
                </c:pt>
                <c:pt idx="1">
                  <c:v>711.38737946893411</c:v>
                </c:pt>
                <c:pt idx="2">
                  <c:v>702.89938773444521</c:v>
                </c:pt>
                <c:pt idx="3">
                  <c:v>693.66151263314612</c:v>
                </c:pt>
                <c:pt idx="4">
                  <c:v>683.63320232258695</c:v>
                </c:pt>
                <c:pt idx="5">
                  <c:v>672.7770229101958</c:v>
                </c:pt>
                <c:pt idx="6">
                  <c:v>661.05991620762575</c:v>
                </c:pt>
                <c:pt idx="7">
                  <c:v>648.45457834023864</c:v>
                </c:pt>
                <c:pt idx="8">
                  <c:v>634.94092778119932</c:v>
                </c:pt>
                <c:pt idx="9">
                  <c:v>620.50761786202827</c:v>
                </c:pt>
                <c:pt idx="10">
                  <c:v>605.15353482241437</c:v>
                </c:pt>
                <c:pt idx="11">
                  <c:v>588.88920923480157</c:v>
                </c:pt>
                <c:pt idx="12">
                  <c:v>571.73805774214338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7D-4510-965B-49F0F4E0F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3351328"/>
        <c:axId val="1"/>
      </c:scatterChart>
      <c:valAx>
        <c:axId val="1303351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1628507802118384"/>
              <c:y val="0.88704844876461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7.3755011145883398E-2"/>
              <c:y val="0.4182830083605512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30335132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SA</a:t>
            </a:r>
          </a:p>
        </c:rich>
      </c:tx>
      <c:layout>
        <c:manualLayout>
          <c:xMode val="edge"/>
          <c:yMode val="edge"/>
          <c:x val="0.3096753937114281"/>
          <c:y val="3.69526705311742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738320001646921"/>
          <c:y val="0.17783472693127583"/>
          <c:w val="0.74558789059184594"/>
          <c:h val="0.63050494093815979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'IA - continous data model (new)'!$A$25:$A$89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</c:numCache>
            </c:numRef>
          </c:xVal>
          <c:yVal>
            <c:numRef>
              <c:f>'IA - continous data model (new)'!$C$25:$C$89</c:f>
              <c:numCache>
                <c:formatCode>0.00</c:formatCode>
                <c:ptCount val="65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0">
                  <c:v>861</c:v>
                </c:pt>
                <c:pt idx="21">
                  <c:v>884</c:v>
                </c:pt>
                <c:pt idx="22">
                  <c:v>763</c:v>
                </c:pt>
                <c:pt idx="23">
                  <c:v>822</c:v>
                </c:pt>
                <c:pt idx="24">
                  <c:v>1051</c:v>
                </c:pt>
                <c:pt idx="25">
                  <c:v>937</c:v>
                </c:pt>
                <c:pt idx="26">
                  <c:v>821</c:v>
                </c:pt>
                <c:pt idx="27">
                  <c:v>971</c:v>
                </c:pt>
                <c:pt idx="28">
                  <c:v>861</c:v>
                </c:pt>
                <c:pt idx="29">
                  <c:v>837</c:v>
                </c:pt>
                <c:pt idx="30">
                  <c:v>169</c:v>
                </c:pt>
                <c:pt idx="31">
                  <c:v>73</c:v>
                </c:pt>
                <c:pt idx="32">
                  <c:v>133</c:v>
                </c:pt>
                <c:pt idx="33">
                  <c:v>101</c:v>
                </c:pt>
                <c:pt idx="34">
                  <c:v>324</c:v>
                </c:pt>
                <c:pt idx="35">
                  <c:v>23</c:v>
                </c:pt>
                <c:pt idx="36">
                  <c:v>3</c:v>
                </c:pt>
                <c:pt idx="37">
                  <c:v>0</c:v>
                </c:pt>
                <c:pt idx="38">
                  <c:v>0</c:v>
                </c:pt>
                <c:pt idx="39">
                  <c:v>8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37-40FF-A65E-DB6642EBE61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'IA - continous data model (new)'!$AC$20:$AC$37</c:f>
              <c:numCache>
                <c:formatCode>General</c:formatCode>
                <c:ptCount val="18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11">
                  <c:v>0.18206645425580337</c:v>
                </c:pt>
                <c:pt idx="13">
                  <c:v>0.23668639053254439</c:v>
                </c:pt>
                <c:pt idx="15">
                  <c:v>0.30769230769230771</c:v>
                </c:pt>
                <c:pt idx="16">
                  <c:v>0.4</c:v>
                </c:pt>
                <c:pt idx="17">
                  <c:v>0.52</c:v>
                </c:pt>
              </c:numCache>
            </c:numRef>
          </c:xVal>
          <c:yVal>
            <c:numRef>
              <c:f>'IA - continous data model (new)'!$AD$20:$AD$37</c:f>
              <c:numCache>
                <c:formatCode>General</c:formatCode>
                <c:ptCount val="18"/>
                <c:pt idx="0">
                  <c:v>811.2552919668758</c:v>
                </c:pt>
                <c:pt idx="1">
                  <c:v>810.92710994154538</c:v>
                </c:pt>
                <c:pt idx="2">
                  <c:v>808.71873595939314</c:v>
                </c:pt>
                <c:pt idx="3">
                  <c:v>792.00276982034188</c:v>
                </c:pt>
                <c:pt idx="4">
                  <c:v>682.64647006374992</c:v>
                </c:pt>
                <c:pt idx="5">
                  <c:v>329.76233419383016</c:v>
                </c:pt>
                <c:pt idx="6">
                  <c:v>65.868646105734825</c:v>
                </c:pt>
                <c:pt idx="7">
                  <c:v>9.1456980756360995</c:v>
                </c:pt>
                <c:pt idx="11">
                  <c:v>1.1917584811849748</c:v>
                </c:pt>
                <c:pt idx="13">
                  <c:v>0.15396794016259568</c:v>
                </c:pt>
                <c:pt idx="15">
                  <c:v>1.9869553831991033E-2</c:v>
                </c:pt>
                <c:pt idx="16">
                  <c:v>2.5637956115556445E-3</c:v>
                </c:pt>
                <c:pt idx="17">
                  <c:v>3.3080389566361165E-4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37-40FF-A65E-DB6642EBE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3352320"/>
        <c:axId val="1"/>
      </c:scatterChart>
      <c:valAx>
        <c:axId val="1303352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49311368425386637"/>
              <c:y val="0.891483176564577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4.339400421434024E-2"/>
              <c:y val="0.4041698339347177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30335232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SA</a:t>
            </a:r>
          </a:p>
        </c:rich>
      </c:tx>
      <c:layout>
        <c:manualLayout>
          <c:xMode val="edge"/>
          <c:yMode val="edge"/>
          <c:x val="0.29068151451612873"/>
          <c:y val="3.72973294059857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343429847135265"/>
          <c:y val="0.1678379823269357"/>
          <c:w val="0.6985033408521899"/>
          <c:h val="0.60375051975939364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('IA - continous data model (new)'!$B$25:$B$44,'IA - continous data model (new)'!$B$90:$B$134)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</c:numCache>
            </c:numRef>
          </c:xVal>
          <c:yVal>
            <c:numRef>
              <c:f>('IA - continous data model (new)'!$C$25:$C$44,'IA - continous data model (new)'!$C$90:$C$134)</c:f>
              <c:numCache>
                <c:formatCode>0.00</c:formatCode>
                <c:ptCount val="65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0">
                  <c:v>569</c:v>
                </c:pt>
                <c:pt idx="21">
                  <c:v>617</c:v>
                </c:pt>
                <c:pt idx="22">
                  <c:v>655</c:v>
                </c:pt>
                <c:pt idx="23">
                  <c:v>599</c:v>
                </c:pt>
                <c:pt idx="24">
                  <c:v>607</c:v>
                </c:pt>
                <c:pt idx="25">
                  <c:v>708</c:v>
                </c:pt>
                <c:pt idx="26">
                  <c:v>572</c:v>
                </c:pt>
                <c:pt idx="27">
                  <c:v>547</c:v>
                </c:pt>
                <c:pt idx="28">
                  <c:v>641</c:v>
                </c:pt>
                <c:pt idx="29">
                  <c:v>644</c:v>
                </c:pt>
                <c:pt idx="30">
                  <c:v>578</c:v>
                </c:pt>
                <c:pt idx="31">
                  <c:v>550</c:v>
                </c:pt>
                <c:pt idx="32">
                  <c:v>585</c:v>
                </c:pt>
                <c:pt idx="33">
                  <c:v>421</c:v>
                </c:pt>
                <c:pt idx="34">
                  <c:v>632</c:v>
                </c:pt>
                <c:pt idx="35">
                  <c:v>616</c:v>
                </c:pt>
                <c:pt idx="36">
                  <c:v>745</c:v>
                </c:pt>
                <c:pt idx="37">
                  <c:v>611</c:v>
                </c:pt>
                <c:pt idx="38">
                  <c:v>586</c:v>
                </c:pt>
                <c:pt idx="39">
                  <c:v>522</c:v>
                </c:pt>
                <c:pt idx="40">
                  <c:v>549</c:v>
                </c:pt>
                <c:pt idx="41">
                  <c:v>552</c:v>
                </c:pt>
                <c:pt idx="42">
                  <c:v>473</c:v>
                </c:pt>
                <c:pt idx="43">
                  <c:v>350</c:v>
                </c:pt>
                <c:pt idx="44">
                  <c:v>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0E-45C7-BB5B-13D468CC54BD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'IA - continous data model (new)'!$AJ$20:$AJ$37</c:f>
              <c:numCache>
                <c:formatCode>General</c:formatCode>
                <c:ptCount val="18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11">
                  <c:v>1.8206645425580334</c:v>
                </c:pt>
                <c:pt idx="13">
                  <c:v>2.3668639053254434</c:v>
                </c:pt>
                <c:pt idx="15">
                  <c:v>3.0769230769230766</c:v>
                </c:pt>
                <c:pt idx="16">
                  <c:v>4</c:v>
                </c:pt>
                <c:pt idx="17">
                  <c:v>5.2</c:v>
                </c:pt>
              </c:numCache>
            </c:numRef>
          </c:xVal>
          <c:yVal>
            <c:numRef>
              <c:f>'IA - continous data model (new)'!$AK$20:$AK$37</c:f>
              <c:numCache>
                <c:formatCode>General</c:formatCode>
                <c:ptCount val="18"/>
                <c:pt idx="0">
                  <c:v>811.2552919668758</c:v>
                </c:pt>
                <c:pt idx="1">
                  <c:v>635.90230423113064</c:v>
                </c:pt>
                <c:pt idx="2">
                  <c:v>626.62541699637802</c:v>
                </c:pt>
                <c:pt idx="3">
                  <c:v>617.00766365567495</c:v>
                </c:pt>
                <c:pt idx="4">
                  <c:v>607.0521690557257</c:v>
                </c:pt>
                <c:pt idx="5">
                  <c:v>596.76381358332787</c:v>
                </c:pt>
                <c:pt idx="6">
                  <c:v>586.14931687384387</c:v>
                </c:pt>
                <c:pt idx="7">
                  <c:v>575.21730568973783</c:v>
                </c:pt>
                <c:pt idx="11">
                  <c:v>563.97836330938708</c:v>
                </c:pt>
                <c:pt idx="13">
                  <c:v>552.44505792501252</c:v>
                </c:pt>
                <c:pt idx="15">
                  <c:v>540.63194780168374</c:v>
                </c:pt>
                <c:pt idx="16">
                  <c:v>528.55556129888203</c:v>
                </c:pt>
                <c:pt idx="17">
                  <c:v>516.23435029966572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0E-45C7-BB5B-13D468CC54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3353312"/>
        <c:axId val="1"/>
      </c:scatterChart>
      <c:valAx>
        <c:axId val="1303353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49893095775156421"/>
              <c:y val="0.8555074932497971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5077951011073595E-2"/>
              <c:y val="0.379966543323479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30335331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DR</a:t>
            </a:r>
          </a:p>
        </c:rich>
      </c:tx>
      <c:layout>
        <c:manualLayout>
          <c:xMode val="edge"/>
          <c:yMode val="edge"/>
          <c:x val="0.30556571328157645"/>
          <c:y val="3.902575550396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49832962175173"/>
          <c:y val="0.18537233864382582"/>
          <c:w val="0.74407235377007253"/>
          <c:h val="0.61221653946842469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'IA - continous data model (new)'!$A$25:$A$89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</c:numCache>
            </c:numRef>
          </c:xVal>
          <c:yVal>
            <c:numRef>
              <c:f>'IA - continous data model (new)'!$C$25:$C$89</c:f>
              <c:numCache>
                <c:formatCode>0.00</c:formatCode>
                <c:ptCount val="65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0">
                  <c:v>861</c:v>
                </c:pt>
                <c:pt idx="21">
                  <c:v>884</c:v>
                </c:pt>
                <c:pt idx="22">
                  <c:v>763</c:v>
                </c:pt>
                <c:pt idx="23">
                  <c:v>822</c:v>
                </c:pt>
                <c:pt idx="24">
                  <c:v>1051</c:v>
                </c:pt>
                <c:pt idx="25">
                  <c:v>937</c:v>
                </c:pt>
                <c:pt idx="26">
                  <c:v>821</c:v>
                </c:pt>
                <c:pt idx="27">
                  <c:v>971</c:v>
                </c:pt>
                <c:pt idx="28">
                  <c:v>861</c:v>
                </c:pt>
                <c:pt idx="29">
                  <c:v>837</c:v>
                </c:pt>
                <c:pt idx="30">
                  <c:v>169</c:v>
                </c:pt>
                <c:pt idx="31">
                  <c:v>73</c:v>
                </c:pt>
                <c:pt idx="32">
                  <c:v>133</c:v>
                </c:pt>
                <c:pt idx="33">
                  <c:v>101</c:v>
                </c:pt>
                <c:pt idx="34">
                  <c:v>324</c:v>
                </c:pt>
                <c:pt idx="35">
                  <c:v>23</c:v>
                </c:pt>
                <c:pt idx="36">
                  <c:v>3</c:v>
                </c:pt>
                <c:pt idx="37">
                  <c:v>0</c:v>
                </c:pt>
                <c:pt idx="38">
                  <c:v>0</c:v>
                </c:pt>
                <c:pt idx="39">
                  <c:v>8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6F-49C4-8F82-8C0CB515432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'IA - continous data model (new)'!$AC$42:$AC$54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 formatCode="0.00">
                  <c:v>0.52</c:v>
                </c:pt>
              </c:numCache>
            </c:numRef>
          </c:xVal>
          <c:yVal>
            <c:numRef>
              <c:f>'IA - continous data model (new)'!$AD$42:$AD$54</c:f>
              <c:numCache>
                <c:formatCode>General</c:formatCode>
                <c:ptCount val="13"/>
                <c:pt idx="0">
                  <c:v>811.6803956411095</c:v>
                </c:pt>
                <c:pt idx="1">
                  <c:v>811.36787563172572</c:v>
                </c:pt>
                <c:pt idx="2">
                  <c:v>809.26639139326642</c:v>
                </c:pt>
                <c:pt idx="3">
                  <c:v>793.35305181398974</c:v>
                </c:pt>
                <c:pt idx="4">
                  <c:v>688.50435794800751</c:v>
                </c:pt>
                <c:pt idx="5">
                  <c:v>340.25609975246221</c:v>
                </c:pt>
                <c:pt idx="6">
                  <c:v>69.198010426867512</c:v>
                </c:pt>
                <c:pt idx="7">
                  <c:v>9.6518546028266492</c:v>
                </c:pt>
                <c:pt idx="8">
                  <c:v>1.2593462543726353</c:v>
                </c:pt>
                <c:pt idx="9">
                  <c:v>0.16283428789397342</c:v>
                </c:pt>
                <c:pt idx="10">
                  <c:v>2.1029804519978247E-2</c:v>
                </c:pt>
                <c:pt idx="11">
                  <c:v>2.7155545396272403E-3</c:v>
                </c:pt>
                <c:pt idx="12" formatCode="0.00">
                  <c:v>3.5064955299782697E-4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6F-49C4-8F82-8C0CB5154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3354304"/>
        <c:axId val="1"/>
      </c:scatterChart>
      <c:valAx>
        <c:axId val="1303354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49207984995994131"/>
              <c:y val="0.885396827996168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4.3652244754510926E-2"/>
              <c:y val="0.397574884196626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30335430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DL</a:t>
            </a:r>
          </a:p>
        </c:rich>
      </c:tx>
      <c:layout>
        <c:manualLayout>
          <c:xMode val="edge"/>
          <c:yMode val="edge"/>
          <c:x val="0.3083109198396482"/>
          <c:y val="3.866109224979288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775344477414471"/>
          <c:y val="0.19330546124896439"/>
          <c:w val="0.7450847229458164"/>
          <c:h val="0.59280341449682417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'IA - continous data model (new)'!$A$25:$A$89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</c:numCache>
            </c:numRef>
          </c:xVal>
          <c:yVal>
            <c:numRef>
              <c:f>'IA - continous data model (new)'!$C$25:$C$89</c:f>
              <c:numCache>
                <c:formatCode>0.00</c:formatCode>
                <c:ptCount val="65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0">
                  <c:v>861</c:v>
                </c:pt>
                <c:pt idx="21">
                  <c:v>884</c:v>
                </c:pt>
                <c:pt idx="22">
                  <c:v>763</c:v>
                </c:pt>
                <c:pt idx="23">
                  <c:v>822</c:v>
                </c:pt>
                <c:pt idx="24">
                  <c:v>1051</c:v>
                </c:pt>
                <c:pt idx="25">
                  <c:v>937</c:v>
                </c:pt>
                <c:pt idx="26">
                  <c:v>821</c:v>
                </c:pt>
                <c:pt idx="27">
                  <c:v>971</c:v>
                </c:pt>
                <c:pt idx="28">
                  <c:v>861</c:v>
                </c:pt>
                <c:pt idx="29">
                  <c:v>837</c:v>
                </c:pt>
                <c:pt idx="30">
                  <c:v>169</c:v>
                </c:pt>
                <c:pt idx="31">
                  <c:v>73</c:v>
                </c:pt>
                <c:pt idx="32">
                  <c:v>133</c:v>
                </c:pt>
                <c:pt idx="33">
                  <c:v>101</c:v>
                </c:pt>
                <c:pt idx="34">
                  <c:v>324</c:v>
                </c:pt>
                <c:pt idx="35">
                  <c:v>23</c:v>
                </c:pt>
                <c:pt idx="36">
                  <c:v>3</c:v>
                </c:pt>
                <c:pt idx="37">
                  <c:v>0</c:v>
                </c:pt>
                <c:pt idx="38">
                  <c:v>0</c:v>
                </c:pt>
                <c:pt idx="39">
                  <c:v>8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97-4068-96B5-5CA3B1F08525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'IA - continous data model (new)'!$AC$59:$AC$71</c:f>
              <c:numCache>
                <c:formatCode>General</c:formatCode>
                <c:ptCount val="13"/>
                <c:pt idx="0">
                  <c:v>0</c:v>
                </c:pt>
                <c:pt idx="1">
                  <c:v>2.9015260114562277E-2</c:v>
                </c:pt>
                <c:pt idx="2">
                  <c:v>3.7719838148930963E-2</c:v>
                </c:pt>
                <c:pt idx="3">
                  <c:v>4.9035789593610254E-2</c:v>
                </c:pt>
                <c:pt idx="4">
                  <c:v>6.3746526471693335E-2</c:v>
                </c:pt>
                <c:pt idx="5">
                  <c:v>8.2870484413201342E-2</c:v>
                </c:pt>
                <c:pt idx="6">
                  <c:v>0.10773162973716174</c:v>
                </c:pt>
                <c:pt idx="7">
                  <c:v>0.14005111865831027</c:v>
                </c:pt>
                <c:pt idx="8">
                  <c:v>0.18206645425580337</c:v>
                </c:pt>
                <c:pt idx="9">
                  <c:v>0.23668639053254439</c:v>
                </c:pt>
                <c:pt idx="10">
                  <c:v>0.30769230769230771</c:v>
                </c:pt>
                <c:pt idx="11">
                  <c:v>0.4</c:v>
                </c:pt>
                <c:pt idx="12" formatCode="0.00">
                  <c:v>0.52</c:v>
                </c:pt>
              </c:numCache>
            </c:numRef>
          </c:xVal>
          <c:yVal>
            <c:numRef>
              <c:f>'IA - continous data model (new)'!$AD$59:$AD$71</c:f>
              <c:numCache>
                <c:formatCode>General</c:formatCode>
                <c:ptCount val="13"/>
                <c:pt idx="0">
                  <c:v>806.32581394474471</c:v>
                </c:pt>
                <c:pt idx="1">
                  <c:v>805.76805279756309</c:v>
                </c:pt>
                <c:pt idx="2">
                  <c:v>802.68668650595941</c:v>
                </c:pt>
                <c:pt idx="3">
                  <c:v>783.07347169620482</c:v>
                </c:pt>
                <c:pt idx="4">
                  <c:v>675.04281101873119</c:v>
                </c:pt>
                <c:pt idx="5">
                  <c:v>354.62104248154014</c:v>
                </c:pt>
                <c:pt idx="6">
                  <c:v>86.306051891995622</c:v>
                </c:pt>
                <c:pt idx="7">
                  <c:v>14.491657939333122</c:v>
                </c:pt>
                <c:pt idx="8">
                  <c:v>2.2468266461870026</c:v>
                </c:pt>
                <c:pt idx="9">
                  <c:v>0.3438612041276769</c:v>
                </c:pt>
                <c:pt idx="10">
                  <c:v>5.2520293776622463E-2</c:v>
                </c:pt>
                <c:pt idx="11">
                  <c:v>8.0193307473282929E-3</c:v>
                </c:pt>
                <c:pt idx="12" formatCode="0.00">
                  <c:v>1.2244154335675202E-3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97-4068-96B5-5CA3B1F08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8426896"/>
        <c:axId val="1"/>
      </c:scatterChart>
      <c:valAx>
        <c:axId val="1548426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49211166051328459"/>
              <c:y val="0.878895497145291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4.3479745105591411E-2"/>
              <c:y val="0.3917657347979011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4842689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DR</a:t>
            </a:r>
          </a:p>
        </c:rich>
      </c:tx>
      <c:layout>
        <c:manualLayout>
          <c:xMode val="edge"/>
          <c:yMode val="edge"/>
          <c:x val="0.28788791581848888"/>
          <c:y val="4.00013947019484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63422558463493"/>
          <c:y val="0.20500714784748583"/>
          <c:w val="0.71430836255715291"/>
          <c:h val="0.57502004884050906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('IA - continous data model (new)'!$B$25:$B$44,'IA - continous data model (new)'!$B$90:$B$134)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</c:numCache>
            </c:numRef>
          </c:xVal>
          <c:yVal>
            <c:numRef>
              <c:f>('IA - continous data model (new)'!$C$25:$C$44,'IA - continous data model (new)'!$C$90:$C$134)</c:f>
              <c:numCache>
                <c:formatCode>0.00</c:formatCode>
                <c:ptCount val="65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0">
                  <c:v>569</c:v>
                </c:pt>
                <c:pt idx="21">
                  <c:v>617</c:v>
                </c:pt>
                <c:pt idx="22">
                  <c:v>655</c:v>
                </c:pt>
                <c:pt idx="23">
                  <c:v>599</c:v>
                </c:pt>
                <c:pt idx="24">
                  <c:v>607</c:v>
                </c:pt>
                <c:pt idx="25">
                  <c:v>708</c:v>
                </c:pt>
                <c:pt idx="26">
                  <c:v>572</c:v>
                </c:pt>
                <c:pt idx="27">
                  <c:v>547</c:v>
                </c:pt>
                <c:pt idx="28">
                  <c:v>641</c:v>
                </c:pt>
                <c:pt idx="29">
                  <c:v>644</c:v>
                </c:pt>
                <c:pt idx="30">
                  <c:v>578</c:v>
                </c:pt>
                <c:pt idx="31">
                  <c:v>550</c:v>
                </c:pt>
                <c:pt idx="32">
                  <c:v>585</c:v>
                </c:pt>
                <c:pt idx="33">
                  <c:v>421</c:v>
                </c:pt>
                <c:pt idx="34">
                  <c:v>632</c:v>
                </c:pt>
                <c:pt idx="35">
                  <c:v>616</c:v>
                </c:pt>
                <c:pt idx="36">
                  <c:v>745</c:v>
                </c:pt>
                <c:pt idx="37">
                  <c:v>611</c:v>
                </c:pt>
                <c:pt idx="38">
                  <c:v>586</c:v>
                </c:pt>
                <c:pt idx="39">
                  <c:v>522</c:v>
                </c:pt>
                <c:pt idx="40">
                  <c:v>549</c:v>
                </c:pt>
                <c:pt idx="41">
                  <c:v>552</c:v>
                </c:pt>
                <c:pt idx="42">
                  <c:v>473</c:v>
                </c:pt>
                <c:pt idx="43">
                  <c:v>350</c:v>
                </c:pt>
                <c:pt idx="44">
                  <c:v>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96-4DA3-8023-917F155316D7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'IA - continous data model (new)'!$AJ$43:$AJ$55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 formatCode="0.00">
                  <c:v>5.2</c:v>
                </c:pt>
              </c:numCache>
            </c:numRef>
          </c:xVal>
          <c:yVal>
            <c:numRef>
              <c:f>'IA - continous data model (new)'!$AK$43:$AK$55</c:f>
              <c:numCache>
                <c:formatCode>General</c:formatCode>
                <c:ptCount val="13"/>
                <c:pt idx="0">
                  <c:v>811.6803956411095</c:v>
                </c:pt>
                <c:pt idx="1">
                  <c:v>643.83669124024425</c:v>
                </c:pt>
                <c:pt idx="2">
                  <c:v>633.6288938415945</c:v>
                </c:pt>
                <c:pt idx="3">
                  <c:v>622.98223552404272</c:v>
                </c:pt>
                <c:pt idx="4">
                  <c:v>611.89968028967996</c:v>
                </c:pt>
                <c:pt idx="5">
                  <c:v>600.38698928186477</c:v>
                </c:pt>
                <c:pt idx="6">
                  <c:v>588.45288971015202</c:v>
                </c:pt>
                <c:pt idx="7">
                  <c:v>576.10921296531762</c:v>
                </c:pt>
                <c:pt idx="8">
                  <c:v>563.37099549769982</c:v>
                </c:pt>
                <c:pt idx="9">
                  <c:v>550.2565363844376</c:v>
                </c:pt>
                <c:pt idx="10">
                  <c:v>536.78740614857998</c:v>
                </c:pt>
                <c:pt idx="11">
                  <c:v>522.98840232445775</c:v>
                </c:pt>
                <c:pt idx="12" formatCode="0.00">
                  <c:v>508.88744848151038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96-4DA3-8023-917F15531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8417968"/>
        <c:axId val="1"/>
      </c:scatterChart>
      <c:valAx>
        <c:axId val="1548417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48919299981186837"/>
              <c:y val="0.87003033476737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4.7620557503810196E-2"/>
              <c:y val="0.3975138598506127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4841796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DL</a:t>
            </a:r>
          </a:p>
        </c:rich>
      </c:tx>
      <c:layout>
        <c:manualLayout>
          <c:xMode val="edge"/>
          <c:yMode val="edge"/>
          <c:x val="0.29095778669291439"/>
          <c:y val="3.876096756686763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474807211723606"/>
          <c:y val="0.23256580540120583"/>
          <c:w val="0.71554063097813025"/>
          <c:h val="0.5426535459361469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('IA - continous data model (new)'!$B$25:$B$44,'IA - continous data model (new)'!$B$90:$B$134)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</c:numCache>
            </c:numRef>
          </c:xVal>
          <c:yVal>
            <c:numRef>
              <c:f>('IA - continous data model (new)'!$C$25:$C$44,'IA - continous data model (new)'!$C$90:$C$134)</c:f>
              <c:numCache>
                <c:formatCode>0.00</c:formatCode>
                <c:ptCount val="65"/>
                <c:pt idx="0">
                  <c:v>699</c:v>
                </c:pt>
                <c:pt idx="1">
                  <c:v>718</c:v>
                </c:pt>
                <c:pt idx="2">
                  <c:v>631</c:v>
                </c:pt>
                <c:pt idx="3">
                  <c:v>619</c:v>
                </c:pt>
                <c:pt idx="4">
                  <c:v>797</c:v>
                </c:pt>
                <c:pt idx="5">
                  <c:v>704</c:v>
                </c:pt>
                <c:pt idx="6">
                  <c:v>574</c:v>
                </c:pt>
                <c:pt idx="7">
                  <c:v>872</c:v>
                </c:pt>
                <c:pt idx="8">
                  <c:v>856</c:v>
                </c:pt>
                <c:pt idx="9">
                  <c:v>709</c:v>
                </c:pt>
                <c:pt idx="10">
                  <c:v>836</c:v>
                </c:pt>
                <c:pt idx="11">
                  <c:v>747</c:v>
                </c:pt>
                <c:pt idx="12">
                  <c:v>868</c:v>
                </c:pt>
                <c:pt idx="13">
                  <c:v>803</c:v>
                </c:pt>
                <c:pt idx="14">
                  <c:v>757</c:v>
                </c:pt>
                <c:pt idx="15">
                  <c:v>886</c:v>
                </c:pt>
                <c:pt idx="16">
                  <c:v>694</c:v>
                </c:pt>
                <c:pt idx="17">
                  <c:v>668</c:v>
                </c:pt>
                <c:pt idx="18">
                  <c:v>989</c:v>
                </c:pt>
                <c:pt idx="19">
                  <c:v>592</c:v>
                </c:pt>
                <c:pt idx="20">
                  <c:v>569</c:v>
                </c:pt>
                <c:pt idx="21">
                  <c:v>617</c:v>
                </c:pt>
                <c:pt idx="22">
                  <c:v>655</c:v>
                </c:pt>
                <c:pt idx="23">
                  <c:v>599</c:v>
                </c:pt>
                <c:pt idx="24">
                  <c:v>607</c:v>
                </c:pt>
                <c:pt idx="25">
                  <c:v>708</c:v>
                </c:pt>
                <c:pt idx="26">
                  <c:v>572</c:v>
                </c:pt>
                <c:pt idx="27">
                  <c:v>547</c:v>
                </c:pt>
                <c:pt idx="28">
                  <c:v>641</c:v>
                </c:pt>
                <c:pt idx="29">
                  <c:v>644</c:v>
                </c:pt>
                <c:pt idx="30">
                  <c:v>578</c:v>
                </c:pt>
                <c:pt idx="31">
                  <c:v>550</c:v>
                </c:pt>
                <c:pt idx="32">
                  <c:v>585</c:v>
                </c:pt>
                <c:pt idx="33">
                  <c:v>421</c:v>
                </c:pt>
                <c:pt idx="34">
                  <c:v>632</c:v>
                </c:pt>
                <c:pt idx="35">
                  <c:v>616</c:v>
                </c:pt>
                <c:pt idx="36">
                  <c:v>745</c:v>
                </c:pt>
                <c:pt idx="37">
                  <c:v>611</c:v>
                </c:pt>
                <c:pt idx="38">
                  <c:v>586</c:v>
                </c:pt>
                <c:pt idx="39">
                  <c:v>522</c:v>
                </c:pt>
                <c:pt idx="40">
                  <c:v>549</c:v>
                </c:pt>
                <c:pt idx="41">
                  <c:v>552</c:v>
                </c:pt>
                <c:pt idx="42">
                  <c:v>473</c:v>
                </c:pt>
                <c:pt idx="43">
                  <c:v>350</c:v>
                </c:pt>
                <c:pt idx="44">
                  <c:v>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50-44D1-935E-8F17A73272FD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'IA - continous data model (new)'!$AJ$59:$AJ$71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 formatCode="0.00">
                  <c:v>5.2</c:v>
                </c:pt>
              </c:numCache>
            </c:numRef>
          </c:xVal>
          <c:yVal>
            <c:numRef>
              <c:f>'IA - continous data model (new)'!$AK$59:$AK$71</c:f>
              <c:numCache>
                <c:formatCode>General</c:formatCode>
                <c:ptCount val="13"/>
                <c:pt idx="0">
                  <c:v>806.32581394474471</c:v>
                </c:pt>
                <c:pt idx="1">
                  <c:v>625.66025501093623</c:v>
                </c:pt>
                <c:pt idx="2">
                  <c:v>617.42200010037993</c:v>
                </c:pt>
                <c:pt idx="3">
                  <c:v>608.92660788245746</c:v>
                </c:pt>
                <c:pt idx="4">
                  <c:v>600.17672365791748</c:v>
                </c:pt>
                <c:pt idx="5">
                  <c:v>591.17602968555127</c:v>
                </c:pt>
                <c:pt idx="6">
                  <c:v>581.92928461534996</c:v>
                </c:pt>
                <c:pt idx="7">
                  <c:v>572.44235557234276</c:v>
                </c:pt>
                <c:pt idx="8">
                  <c:v>562.72224187776987</c:v>
                </c:pt>
                <c:pt idx="9">
                  <c:v>552.77708945325332</c:v>
                </c:pt>
                <c:pt idx="10">
                  <c:v>542.61619504055273</c:v>
                </c:pt>
                <c:pt idx="11">
                  <c:v>532.24999948482241</c:v>
                </c:pt>
                <c:pt idx="12" formatCode="0.00">
                  <c:v>521.69006947246294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50-44D1-935E-8F17A7327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8427392"/>
        <c:axId val="1"/>
      </c:scatterChart>
      <c:valAx>
        <c:axId val="1548427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4892401302169746"/>
              <c:y val="0.8682456734978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4.7415343016623084E-2"/>
              <c:y val="0.4056981271998812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4842739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Concentration addition</a:t>
            </a:r>
          </a:p>
        </c:rich>
      </c:tx>
      <c:layout>
        <c:manualLayout>
          <c:xMode val="edge"/>
          <c:yMode val="edge"/>
          <c:x val="0.28071116640153632"/>
          <c:y val="2.948501109617091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149865473871225"/>
          <c:y val="0.13268254993276912"/>
          <c:w val="0.6623029082286247"/>
          <c:h val="0.62409940153561771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(new)'!$E$45:$E$89</c:f>
              <c:numCache>
                <c:formatCode>0.00</c:formatCode>
                <c:ptCount val="45"/>
                <c:pt idx="0">
                  <c:v>1</c:v>
                </c:pt>
                <c:pt idx="1">
                  <c:v>0.8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0.9</c:v>
                </c:pt>
                <c:pt idx="10">
                  <c:v>1</c:v>
                </c:pt>
                <c:pt idx="11">
                  <c:v>0.9</c:v>
                </c:pt>
                <c:pt idx="12">
                  <c:v>0.8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0.9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0.9</c:v>
                </c:pt>
                <c:pt idx="23">
                  <c:v>0.8</c:v>
                </c:pt>
                <c:pt idx="24">
                  <c:v>0.8</c:v>
                </c:pt>
              </c:numCache>
            </c:numRef>
          </c:xVal>
          <c:yVal>
            <c:numRef>
              <c:f>'CA - binary data model (new)'!$F$45:$F$89</c:f>
              <c:numCache>
                <c:formatCode>0.00</c:formatCode>
                <c:ptCount val="45"/>
                <c:pt idx="0">
                  <c:v>0.96073584321679928</c:v>
                </c:pt>
                <c:pt idx="1">
                  <c:v>0.96073584321679928</c:v>
                </c:pt>
                <c:pt idx="2">
                  <c:v>0.96073584321679928</c:v>
                </c:pt>
                <c:pt idx="3">
                  <c:v>0.96073584321679928</c:v>
                </c:pt>
                <c:pt idx="4">
                  <c:v>0.96073584321679928</c:v>
                </c:pt>
                <c:pt idx="5">
                  <c:v>0.95668395813227158</c:v>
                </c:pt>
                <c:pt idx="6">
                  <c:v>0.95668395813227158</c:v>
                </c:pt>
                <c:pt idx="7">
                  <c:v>0.95668395813227158</c:v>
                </c:pt>
                <c:pt idx="8">
                  <c:v>0.95668395813227158</c:v>
                </c:pt>
                <c:pt idx="9">
                  <c:v>0.95668395813227158</c:v>
                </c:pt>
                <c:pt idx="10">
                  <c:v>0.94931394602294383</c:v>
                </c:pt>
                <c:pt idx="11">
                  <c:v>0.94931394602294383</c:v>
                </c:pt>
                <c:pt idx="12">
                  <c:v>0.94931394602294383</c:v>
                </c:pt>
                <c:pt idx="13">
                  <c:v>0.94931394602294383</c:v>
                </c:pt>
                <c:pt idx="14">
                  <c:v>0.94931394602294383</c:v>
                </c:pt>
                <c:pt idx="15">
                  <c:v>0.93604141431165067</c:v>
                </c:pt>
                <c:pt idx="16">
                  <c:v>0.93604141431165067</c:v>
                </c:pt>
                <c:pt idx="17">
                  <c:v>0.93604141431165067</c:v>
                </c:pt>
                <c:pt idx="18">
                  <c:v>0.93604141431165067</c:v>
                </c:pt>
                <c:pt idx="19">
                  <c:v>0.93604141431165067</c:v>
                </c:pt>
                <c:pt idx="20">
                  <c:v>0.9125623706768492</c:v>
                </c:pt>
                <c:pt idx="21">
                  <c:v>0.9125623706768492</c:v>
                </c:pt>
                <c:pt idx="22">
                  <c:v>0.9125623706768492</c:v>
                </c:pt>
                <c:pt idx="23">
                  <c:v>0.9125623706768492</c:v>
                </c:pt>
                <c:pt idx="24">
                  <c:v>0.9125623706768492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C-418D-9FF5-0B711CD73D49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(new)'!$E$90:$E$134</c:f>
              <c:numCache>
                <c:formatCode>0.00</c:formatCode>
                <c:ptCount val="4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0.8</c:v>
                </c:pt>
                <c:pt idx="8">
                  <c:v>1</c:v>
                </c:pt>
                <c:pt idx="9">
                  <c:v>1</c:v>
                </c:pt>
                <c:pt idx="10">
                  <c:v>0.8</c:v>
                </c:pt>
                <c:pt idx="11">
                  <c:v>1</c:v>
                </c:pt>
                <c:pt idx="12">
                  <c:v>1</c:v>
                </c:pt>
                <c:pt idx="13">
                  <c:v>0.9</c:v>
                </c:pt>
                <c:pt idx="14">
                  <c:v>0.9</c:v>
                </c:pt>
                <c:pt idx="15">
                  <c:v>0.8</c:v>
                </c:pt>
                <c:pt idx="16">
                  <c:v>0.7</c:v>
                </c:pt>
                <c:pt idx="17">
                  <c:v>0.9</c:v>
                </c:pt>
                <c:pt idx="18">
                  <c:v>0.8</c:v>
                </c:pt>
                <c:pt idx="19">
                  <c:v>0.7</c:v>
                </c:pt>
                <c:pt idx="20">
                  <c:v>0.1</c:v>
                </c:pt>
                <c:pt idx="21">
                  <c:v>0.3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</c:numCache>
            </c:numRef>
          </c:xVal>
          <c:yVal>
            <c:numRef>
              <c:f>'CA - binary data model (new)'!$F$90:$F$134</c:f>
              <c:numCache>
                <c:formatCode>0.00</c:formatCode>
                <c:ptCount val="45"/>
                <c:pt idx="0">
                  <c:v>0.9637630560692092</c:v>
                </c:pt>
                <c:pt idx="1">
                  <c:v>0.9637630560692092</c:v>
                </c:pt>
                <c:pt idx="2">
                  <c:v>0.9637630560692092</c:v>
                </c:pt>
                <c:pt idx="3">
                  <c:v>0.9637630560692092</c:v>
                </c:pt>
                <c:pt idx="4">
                  <c:v>0.9637630560692092</c:v>
                </c:pt>
                <c:pt idx="5">
                  <c:v>0.95532154407337844</c:v>
                </c:pt>
                <c:pt idx="6">
                  <c:v>0.95532154407337844</c:v>
                </c:pt>
                <c:pt idx="7">
                  <c:v>0.95532154407337844</c:v>
                </c:pt>
                <c:pt idx="8">
                  <c:v>0.95532154407337844</c:v>
                </c:pt>
                <c:pt idx="9">
                  <c:v>0.95532154407337844</c:v>
                </c:pt>
                <c:pt idx="10">
                  <c:v>0.91031630917417805</c:v>
                </c:pt>
                <c:pt idx="11">
                  <c:v>0.91031630917417805</c:v>
                </c:pt>
                <c:pt idx="12">
                  <c:v>0.91031630917417805</c:v>
                </c:pt>
                <c:pt idx="13">
                  <c:v>0.91031630917417805</c:v>
                </c:pt>
                <c:pt idx="14">
                  <c:v>0.91031630917417805</c:v>
                </c:pt>
                <c:pt idx="15">
                  <c:v>0.71953166080365349</c:v>
                </c:pt>
                <c:pt idx="16">
                  <c:v>0.71953166080365349</c:v>
                </c:pt>
                <c:pt idx="17">
                  <c:v>0.71953166080365349</c:v>
                </c:pt>
                <c:pt idx="18">
                  <c:v>0.71953166080365349</c:v>
                </c:pt>
                <c:pt idx="19">
                  <c:v>0.71953166080365349</c:v>
                </c:pt>
                <c:pt idx="20">
                  <c:v>0.33297815059401442</c:v>
                </c:pt>
                <c:pt idx="21">
                  <c:v>0.33297815059401442</c:v>
                </c:pt>
                <c:pt idx="22">
                  <c:v>0.33297815059401442</c:v>
                </c:pt>
                <c:pt idx="23">
                  <c:v>0.33297815059401442</c:v>
                </c:pt>
                <c:pt idx="24">
                  <c:v>0.33297815059401442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DC-418D-9FF5-0B711CD73D49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(new)'!$E$135:$E$224</c:f>
              <c:numCache>
                <c:formatCode>0.00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0.9</c:v>
                </c:pt>
                <c:pt idx="9">
                  <c:v>0.9</c:v>
                </c:pt>
                <c:pt idx="10">
                  <c:v>0.8</c:v>
                </c:pt>
                <c:pt idx="11">
                  <c:v>0.9</c:v>
                </c:pt>
                <c:pt idx="12">
                  <c:v>0.9</c:v>
                </c:pt>
                <c:pt idx="13">
                  <c:v>1</c:v>
                </c:pt>
                <c:pt idx="14">
                  <c:v>0.7</c:v>
                </c:pt>
                <c:pt idx="15">
                  <c:v>0.9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0.9</c:v>
                </c:pt>
                <c:pt idx="20">
                  <c:v>0.8</c:v>
                </c:pt>
                <c:pt idx="21">
                  <c:v>0.9</c:v>
                </c:pt>
                <c:pt idx="22">
                  <c:v>1</c:v>
                </c:pt>
                <c:pt idx="23">
                  <c:v>1</c:v>
                </c:pt>
                <c:pt idx="24">
                  <c:v>0.8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0.9</c:v>
                </c:pt>
                <c:pt idx="34">
                  <c:v>0.9</c:v>
                </c:pt>
                <c:pt idx="35">
                  <c:v>1</c:v>
                </c:pt>
                <c:pt idx="36">
                  <c:v>0.8</c:v>
                </c:pt>
                <c:pt idx="37">
                  <c:v>0.8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0.9</c:v>
                </c:pt>
                <c:pt idx="42">
                  <c:v>0.6</c:v>
                </c:pt>
                <c:pt idx="43">
                  <c:v>0.9</c:v>
                </c:pt>
                <c:pt idx="44">
                  <c:v>0.8</c:v>
                </c:pt>
                <c:pt idx="45">
                  <c:v>0.9</c:v>
                </c:pt>
                <c:pt idx="46">
                  <c:v>1</c:v>
                </c:pt>
                <c:pt idx="47">
                  <c:v>0.7</c:v>
                </c:pt>
                <c:pt idx="48">
                  <c:v>0.6</c:v>
                </c:pt>
                <c:pt idx="49">
                  <c:v>0.9</c:v>
                </c:pt>
                <c:pt idx="50">
                  <c:v>0.8</c:v>
                </c:pt>
                <c:pt idx="51">
                  <c:v>0.6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0.8</c:v>
                </c:pt>
                <c:pt idx="61">
                  <c:v>0.9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0.8</c:v>
                </c:pt>
                <c:pt idx="66">
                  <c:v>0.7</c:v>
                </c:pt>
                <c:pt idx="67">
                  <c:v>0.7</c:v>
                </c:pt>
                <c:pt idx="68">
                  <c:v>0.7</c:v>
                </c:pt>
                <c:pt idx="69">
                  <c:v>0.6</c:v>
                </c:pt>
                <c:pt idx="70">
                  <c:v>0.4</c:v>
                </c:pt>
                <c:pt idx="71">
                  <c:v>0.2</c:v>
                </c:pt>
                <c:pt idx="72">
                  <c:v>0.4</c:v>
                </c:pt>
                <c:pt idx="73">
                  <c:v>0.4</c:v>
                </c:pt>
                <c:pt idx="74">
                  <c:v>0.4</c:v>
                </c:pt>
              </c:numCache>
            </c:numRef>
          </c:xVal>
          <c:yVal>
            <c:numRef>
              <c:f>'CA - binary data model (new)'!$F$135:$F$224</c:f>
              <c:numCache>
                <c:formatCode>0.00</c:formatCode>
                <c:ptCount val="90"/>
                <c:pt idx="0">
                  <c:v>0.96112625678242347</c:v>
                </c:pt>
                <c:pt idx="1">
                  <c:v>0.96112625678242347</c:v>
                </c:pt>
                <c:pt idx="2">
                  <c:v>0.96112625678242347</c:v>
                </c:pt>
                <c:pt idx="3">
                  <c:v>0.96112625678242347</c:v>
                </c:pt>
                <c:pt idx="4">
                  <c:v>0.96112625678242347</c:v>
                </c:pt>
                <c:pt idx="5">
                  <c:v>0.95654530654877323</c:v>
                </c:pt>
                <c:pt idx="6">
                  <c:v>0.95654530654877323</c:v>
                </c:pt>
                <c:pt idx="7">
                  <c:v>0.95654530654877323</c:v>
                </c:pt>
                <c:pt idx="8">
                  <c:v>0.95654530654877323</c:v>
                </c:pt>
                <c:pt idx="9">
                  <c:v>0.95654530654877323</c:v>
                </c:pt>
                <c:pt idx="10">
                  <c:v>0.94622827600500026</c:v>
                </c:pt>
                <c:pt idx="11">
                  <c:v>0.94622827600500026</c:v>
                </c:pt>
                <c:pt idx="12">
                  <c:v>0.94622827600500026</c:v>
                </c:pt>
                <c:pt idx="13">
                  <c:v>0.94622827600500026</c:v>
                </c:pt>
                <c:pt idx="14">
                  <c:v>0.94622827600500026</c:v>
                </c:pt>
                <c:pt idx="15">
                  <c:v>0.92048657174967508</c:v>
                </c:pt>
                <c:pt idx="16">
                  <c:v>0.92048657174967508</c:v>
                </c:pt>
                <c:pt idx="17">
                  <c:v>0.92048657174967508</c:v>
                </c:pt>
                <c:pt idx="18">
                  <c:v>0.92048657174967508</c:v>
                </c:pt>
                <c:pt idx="19">
                  <c:v>0.92048657174967508</c:v>
                </c:pt>
                <c:pt idx="20">
                  <c:v>0.84845558577015145</c:v>
                </c:pt>
                <c:pt idx="21">
                  <c:v>0.84845558577015145</c:v>
                </c:pt>
                <c:pt idx="22">
                  <c:v>0.84845558577015145</c:v>
                </c:pt>
                <c:pt idx="23">
                  <c:v>0.84845558577015145</c:v>
                </c:pt>
                <c:pt idx="24">
                  <c:v>0.84845558577015145</c:v>
                </c:pt>
                <c:pt idx="25">
                  <c:v>0.96164220820020407</c:v>
                </c:pt>
                <c:pt idx="26">
                  <c:v>0.96164220820020407</c:v>
                </c:pt>
                <c:pt idx="27">
                  <c:v>0.96164220820020407</c:v>
                </c:pt>
                <c:pt idx="28">
                  <c:v>0.96164220820020407</c:v>
                </c:pt>
                <c:pt idx="29">
                  <c:v>0.96164220820020407</c:v>
                </c:pt>
                <c:pt idx="30">
                  <c:v>0.9563361115054092</c:v>
                </c:pt>
                <c:pt idx="31">
                  <c:v>0.9563361115054092</c:v>
                </c:pt>
                <c:pt idx="32">
                  <c:v>0.9563361115054092</c:v>
                </c:pt>
                <c:pt idx="33">
                  <c:v>0.9563361115054092</c:v>
                </c:pt>
                <c:pt idx="34">
                  <c:v>0.9563361115054092</c:v>
                </c:pt>
                <c:pt idx="35">
                  <c:v>0.94059046740373708</c:v>
                </c:pt>
                <c:pt idx="36">
                  <c:v>0.94059046740373708</c:v>
                </c:pt>
                <c:pt idx="37">
                  <c:v>0.94059046740373708</c:v>
                </c:pt>
                <c:pt idx="38">
                  <c:v>0.94059046740373708</c:v>
                </c:pt>
                <c:pt idx="39">
                  <c:v>0.94059046740373708</c:v>
                </c:pt>
                <c:pt idx="40">
                  <c:v>0.88497476362604788</c:v>
                </c:pt>
                <c:pt idx="41">
                  <c:v>0.88497476362604788</c:v>
                </c:pt>
                <c:pt idx="42">
                  <c:v>0.88497476362604788</c:v>
                </c:pt>
                <c:pt idx="43">
                  <c:v>0.88497476362604788</c:v>
                </c:pt>
                <c:pt idx="44">
                  <c:v>0.88497476362604788</c:v>
                </c:pt>
                <c:pt idx="45">
                  <c:v>0.69209142345457386</c:v>
                </c:pt>
                <c:pt idx="46">
                  <c:v>0.69209142345457386</c:v>
                </c:pt>
                <c:pt idx="47">
                  <c:v>0.69209142345457386</c:v>
                </c:pt>
                <c:pt idx="48">
                  <c:v>0.69209142345457386</c:v>
                </c:pt>
                <c:pt idx="49">
                  <c:v>0.69209142345457386</c:v>
                </c:pt>
                <c:pt idx="50">
                  <c:v>0.96238516358687831</c:v>
                </c:pt>
                <c:pt idx="51">
                  <c:v>0.96238516358687831</c:v>
                </c:pt>
                <c:pt idx="52">
                  <c:v>0.96238516358687831</c:v>
                </c:pt>
                <c:pt idx="53">
                  <c:v>0.96238516358687831</c:v>
                </c:pt>
                <c:pt idx="54">
                  <c:v>0.96238516358687831</c:v>
                </c:pt>
                <c:pt idx="55">
                  <c:v>0.95598844371969682</c:v>
                </c:pt>
                <c:pt idx="56">
                  <c:v>0.95598844371969682</c:v>
                </c:pt>
                <c:pt idx="57">
                  <c:v>0.95598844371969682</c:v>
                </c:pt>
                <c:pt idx="58">
                  <c:v>0.95598844371969682</c:v>
                </c:pt>
                <c:pt idx="59">
                  <c:v>0.95598844371969682</c:v>
                </c:pt>
                <c:pt idx="60">
                  <c:v>0.9298006302282471</c:v>
                </c:pt>
                <c:pt idx="61">
                  <c:v>0.9298006302282471</c:v>
                </c:pt>
                <c:pt idx="62">
                  <c:v>0.9298006302282471</c:v>
                </c:pt>
                <c:pt idx="63">
                  <c:v>0.9298006302282471</c:v>
                </c:pt>
                <c:pt idx="64">
                  <c:v>0.9298006302282471</c:v>
                </c:pt>
                <c:pt idx="65">
                  <c:v>0.81684667282966483</c:v>
                </c:pt>
                <c:pt idx="66">
                  <c:v>0.81684667282966483</c:v>
                </c:pt>
                <c:pt idx="67">
                  <c:v>0.81684667282966483</c:v>
                </c:pt>
                <c:pt idx="68">
                  <c:v>0.81684667282966483</c:v>
                </c:pt>
                <c:pt idx="69">
                  <c:v>0.81684667282966483</c:v>
                </c:pt>
                <c:pt idx="70">
                  <c:v>0.49271184780371513</c:v>
                </c:pt>
                <c:pt idx="71">
                  <c:v>0.49271184780371513</c:v>
                </c:pt>
                <c:pt idx="72">
                  <c:v>0.49271184780371513</c:v>
                </c:pt>
                <c:pt idx="73">
                  <c:v>0.49271184780371513</c:v>
                </c:pt>
                <c:pt idx="74">
                  <c:v>0.49271184780371513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DC-418D-9FF5-0B711CD73D49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binary data model (new)'!$T$2:$T$3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'CA - binary data model (new)'!$T$2:$T$3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DC-418D-9FF5-0B711CD73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60080"/>
        <c:axId val="1"/>
      </c:scatterChart>
      <c:valAx>
        <c:axId val="155226008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0001676515273652"/>
              <c:y val="0.867350743079027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4.8247231725264052E-2"/>
              <c:y val="0.3710197229601506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5226008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0265849142939294"/>
          <c:y val="0.56267229508526162"/>
          <c:w val="0.18202364696349621"/>
          <c:h val="0.186738403609082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CA to the complete data set</a:t>
            </a:r>
          </a:p>
        </c:rich>
      </c:tx>
      <c:layout>
        <c:manualLayout>
          <c:xMode val="edge"/>
          <c:yMode val="edge"/>
          <c:x val="0.16322852322398074"/>
          <c:y val="3.96052139270620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000824443166669"/>
          <c:y val="0.29456377858252392"/>
          <c:w val="0.67150974744042713"/>
          <c:h val="0.43565735319768245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(new)'!$F$227:$F$316</c:f>
              <c:numCache>
                <c:formatCode>General</c:formatCode>
                <c:ptCount val="90"/>
                <c:pt idx="0">
                  <c:v>2.2326014134696426E-2</c:v>
                </c:pt>
                <c:pt idx="1">
                  <c:v>2.2326014134696426E-2</c:v>
                </c:pt>
                <c:pt idx="2">
                  <c:v>2.2326014134696426E-2</c:v>
                </c:pt>
                <c:pt idx="3">
                  <c:v>2.2326014134696426E-2</c:v>
                </c:pt>
                <c:pt idx="4">
                  <c:v>2.2326014134696426E-2</c:v>
                </c:pt>
                <c:pt idx="5">
                  <c:v>4.4652028269392852E-2</c:v>
                </c:pt>
                <c:pt idx="6">
                  <c:v>4.4652028269392852E-2</c:v>
                </c:pt>
                <c:pt idx="7">
                  <c:v>4.4652028269392852E-2</c:v>
                </c:pt>
                <c:pt idx="8">
                  <c:v>4.4652028269392852E-2</c:v>
                </c:pt>
                <c:pt idx="9">
                  <c:v>4.4652028269392852E-2</c:v>
                </c:pt>
                <c:pt idx="10">
                  <c:v>8.9304056538785703E-2</c:v>
                </c:pt>
                <c:pt idx="11">
                  <c:v>8.9304056538785703E-2</c:v>
                </c:pt>
                <c:pt idx="12">
                  <c:v>8.9304056538785703E-2</c:v>
                </c:pt>
                <c:pt idx="13">
                  <c:v>8.9304056538785703E-2</c:v>
                </c:pt>
                <c:pt idx="14">
                  <c:v>8.9304056538785703E-2</c:v>
                </c:pt>
                <c:pt idx="15">
                  <c:v>0.17860811307757141</c:v>
                </c:pt>
                <c:pt idx="16">
                  <c:v>0.17860811307757141</c:v>
                </c:pt>
                <c:pt idx="17">
                  <c:v>0.17860811307757141</c:v>
                </c:pt>
                <c:pt idx="18">
                  <c:v>0.17860811307757141</c:v>
                </c:pt>
                <c:pt idx="19">
                  <c:v>0.17860811307757141</c:v>
                </c:pt>
                <c:pt idx="20">
                  <c:v>0.35721622615514281</c:v>
                </c:pt>
                <c:pt idx="21">
                  <c:v>0.35721622615514281</c:v>
                </c:pt>
                <c:pt idx="22">
                  <c:v>0.35721622615514281</c:v>
                </c:pt>
                <c:pt idx="23">
                  <c:v>0.35721622615514281</c:v>
                </c:pt>
                <c:pt idx="24">
                  <c:v>0.35721622615514281</c:v>
                </c:pt>
                <c:pt idx="25">
                  <c:v>4.2152028269392856E-2</c:v>
                </c:pt>
                <c:pt idx="26">
                  <c:v>4.2152028269392856E-2</c:v>
                </c:pt>
                <c:pt idx="27">
                  <c:v>4.2152028269392856E-2</c:v>
                </c:pt>
                <c:pt idx="28">
                  <c:v>4.2152028269392856E-2</c:v>
                </c:pt>
                <c:pt idx="29">
                  <c:v>4.2152028269392856E-2</c:v>
                </c:pt>
                <c:pt idx="30">
                  <c:v>8.4304056538785713E-2</c:v>
                </c:pt>
                <c:pt idx="31">
                  <c:v>8.4304056538785713E-2</c:v>
                </c:pt>
                <c:pt idx="32">
                  <c:v>8.4304056538785713E-2</c:v>
                </c:pt>
                <c:pt idx="33">
                  <c:v>8.4304056538785713E-2</c:v>
                </c:pt>
                <c:pt idx="34">
                  <c:v>8.4304056538785713E-2</c:v>
                </c:pt>
                <c:pt idx="35">
                  <c:v>0.16860811307757143</c:v>
                </c:pt>
                <c:pt idx="36">
                  <c:v>0.16860811307757143</c:v>
                </c:pt>
                <c:pt idx="37">
                  <c:v>0.16860811307757143</c:v>
                </c:pt>
                <c:pt idx="38">
                  <c:v>0.16860811307757143</c:v>
                </c:pt>
                <c:pt idx="39">
                  <c:v>0.16860811307757143</c:v>
                </c:pt>
                <c:pt idx="40">
                  <c:v>0.33721622615514285</c:v>
                </c:pt>
                <c:pt idx="41">
                  <c:v>0.33721622615514285</c:v>
                </c:pt>
                <c:pt idx="42">
                  <c:v>0.33721622615514285</c:v>
                </c:pt>
                <c:pt idx="43">
                  <c:v>0.33721622615514285</c:v>
                </c:pt>
                <c:pt idx="44">
                  <c:v>0.33721622615514285</c:v>
                </c:pt>
                <c:pt idx="45">
                  <c:v>0.6744324523102857</c:v>
                </c:pt>
                <c:pt idx="46">
                  <c:v>0.6744324523102857</c:v>
                </c:pt>
                <c:pt idx="47">
                  <c:v>0.6744324523102857</c:v>
                </c:pt>
                <c:pt idx="48">
                  <c:v>0.6744324523102857</c:v>
                </c:pt>
                <c:pt idx="49">
                  <c:v>0.6744324523102857</c:v>
                </c:pt>
                <c:pt idx="50">
                  <c:v>6.1978042404089287E-2</c:v>
                </c:pt>
                <c:pt idx="51">
                  <c:v>6.1978042404089287E-2</c:v>
                </c:pt>
                <c:pt idx="52">
                  <c:v>6.1978042404089287E-2</c:v>
                </c:pt>
                <c:pt idx="53">
                  <c:v>6.1978042404089287E-2</c:v>
                </c:pt>
                <c:pt idx="54">
                  <c:v>6.1978042404089287E-2</c:v>
                </c:pt>
                <c:pt idx="55">
                  <c:v>0.12395608480817857</c:v>
                </c:pt>
                <c:pt idx="56">
                  <c:v>0.12395608480817857</c:v>
                </c:pt>
                <c:pt idx="57">
                  <c:v>0.12395608480817857</c:v>
                </c:pt>
                <c:pt idx="58">
                  <c:v>0.12395608480817857</c:v>
                </c:pt>
                <c:pt idx="59">
                  <c:v>0.12395608480817857</c:v>
                </c:pt>
                <c:pt idx="60">
                  <c:v>0.24791216961635715</c:v>
                </c:pt>
                <c:pt idx="61">
                  <c:v>0.24791216961635715</c:v>
                </c:pt>
                <c:pt idx="62">
                  <c:v>0.24791216961635715</c:v>
                </c:pt>
                <c:pt idx="63">
                  <c:v>0.24791216961635715</c:v>
                </c:pt>
                <c:pt idx="64">
                  <c:v>0.24791216961635715</c:v>
                </c:pt>
                <c:pt idx="65">
                  <c:v>0.4958243392327143</c:v>
                </c:pt>
                <c:pt idx="66">
                  <c:v>0.4958243392327143</c:v>
                </c:pt>
                <c:pt idx="67">
                  <c:v>0.4958243392327143</c:v>
                </c:pt>
                <c:pt idx="68">
                  <c:v>0.4958243392327143</c:v>
                </c:pt>
                <c:pt idx="69">
                  <c:v>0.4958243392327143</c:v>
                </c:pt>
                <c:pt idx="70">
                  <c:v>0.99164867846542859</c:v>
                </c:pt>
                <c:pt idx="71">
                  <c:v>0.99164867846542859</c:v>
                </c:pt>
                <c:pt idx="72">
                  <c:v>0.99164867846542859</c:v>
                </c:pt>
                <c:pt idx="73">
                  <c:v>0.99164867846542859</c:v>
                </c:pt>
                <c:pt idx="74">
                  <c:v>0.99164867846542859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binary data model (new)'!$H$227:$H$316</c:f>
              <c:numCache>
                <c:formatCode>0.00</c:formatCode>
                <c:ptCount val="90"/>
                <c:pt idx="0">
                  <c:v>3.8873743217576529E-2</c:v>
                </c:pt>
                <c:pt idx="1">
                  <c:v>3.8873743217576529E-2</c:v>
                </c:pt>
                <c:pt idx="2">
                  <c:v>3.8873743217576529E-2</c:v>
                </c:pt>
                <c:pt idx="3">
                  <c:v>-6.1126256782423449E-2</c:v>
                </c:pt>
                <c:pt idx="4">
                  <c:v>3.8873743217576529E-2</c:v>
                </c:pt>
                <c:pt idx="5">
                  <c:v>4.3454693451226767E-2</c:v>
                </c:pt>
                <c:pt idx="6">
                  <c:v>4.3454693451226767E-2</c:v>
                </c:pt>
                <c:pt idx="7">
                  <c:v>4.3454693451226767E-2</c:v>
                </c:pt>
                <c:pt idx="8">
                  <c:v>-5.6545306548773211E-2</c:v>
                </c:pt>
                <c:pt idx="9">
                  <c:v>-5.6545306548773211E-2</c:v>
                </c:pt>
                <c:pt idx="10">
                  <c:v>-0.14622827600500021</c:v>
                </c:pt>
                <c:pt idx="11">
                  <c:v>-4.6228276005000235E-2</c:v>
                </c:pt>
                <c:pt idx="12">
                  <c:v>-4.6228276005000235E-2</c:v>
                </c:pt>
                <c:pt idx="13">
                  <c:v>5.3771723994999743E-2</c:v>
                </c:pt>
                <c:pt idx="14">
                  <c:v>-0.2462282760050003</c:v>
                </c:pt>
                <c:pt idx="15">
                  <c:v>-2.0486571749675053E-2</c:v>
                </c:pt>
                <c:pt idx="16">
                  <c:v>7.9513428250324925E-2</c:v>
                </c:pt>
                <c:pt idx="17">
                  <c:v>7.9513428250324925E-2</c:v>
                </c:pt>
                <c:pt idx="18">
                  <c:v>7.9513428250324925E-2</c:v>
                </c:pt>
                <c:pt idx="19">
                  <c:v>-2.0486571749675053E-2</c:v>
                </c:pt>
                <c:pt idx="20">
                  <c:v>-4.845558577015141E-2</c:v>
                </c:pt>
                <c:pt idx="21">
                  <c:v>5.1544414229848567E-2</c:v>
                </c:pt>
                <c:pt idx="22">
                  <c:v>0.15154441422984855</c:v>
                </c:pt>
                <c:pt idx="23">
                  <c:v>0.15154441422984855</c:v>
                </c:pt>
                <c:pt idx="24">
                  <c:v>-4.845558577015141E-2</c:v>
                </c:pt>
                <c:pt idx="25">
                  <c:v>3.8357791799795926E-2</c:v>
                </c:pt>
                <c:pt idx="26">
                  <c:v>3.8357791799795926E-2</c:v>
                </c:pt>
                <c:pt idx="27">
                  <c:v>3.8357791799795926E-2</c:v>
                </c:pt>
                <c:pt idx="28">
                  <c:v>3.8357791799795926E-2</c:v>
                </c:pt>
                <c:pt idx="29">
                  <c:v>3.8357791799795926E-2</c:v>
                </c:pt>
                <c:pt idx="30">
                  <c:v>4.3663888494590797E-2</c:v>
                </c:pt>
                <c:pt idx="31">
                  <c:v>4.3663888494590797E-2</c:v>
                </c:pt>
                <c:pt idx="32">
                  <c:v>4.3663888494590797E-2</c:v>
                </c:pt>
                <c:pt idx="33">
                  <c:v>-5.6336111505409181E-2</c:v>
                </c:pt>
                <c:pt idx="34">
                  <c:v>-5.6336111505409181E-2</c:v>
                </c:pt>
                <c:pt idx="35">
                  <c:v>5.9409532596262915E-2</c:v>
                </c:pt>
                <c:pt idx="36">
                  <c:v>-0.14059046740373704</c:v>
                </c:pt>
                <c:pt idx="37">
                  <c:v>-0.14059046740373704</c:v>
                </c:pt>
                <c:pt idx="38">
                  <c:v>5.9409532596262915E-2</c:v>
                </c:pt>
                <c:pt idx="39">
                  <c:v>5.9409532596262915E-2</c:v>
                </c:pt>
                <c:pt idx="40">
                  <c:v>0.11502523637395212</c:v>
                </c:pt>
                <c:pt idx="41">
                  <c:v>1.5025236373952144E-2</c:v>
                </c:pt>
                <c:pt idx="42">
                  <c:v>-0.2849747636260479</c:v>
                </c:pt>
                <c:pt idx="43">
                  <c:v>1.5025236373952144E-2</c:v>
                </c:pt>
                <c:pt idx="44">
                  <c:v>-8.4974763626047833E-2</c:v>
                </c:pt>
                <c:pt idx="45">
                  <c:v>0.20790857654542616</c:v>
                </c:pt>
                <c:pt idx="46">
                  <c:v>0.30790857654542614</c:v>
                </c:pt>
                <c:pt idx="47">
                  <c:v>7.9085765454260937E-3</c:v>
                </c:pt>
                <c:pt idx="48">
                  <c:v>-9.2091423454573884E-2</c:v>
                </c:pt>
                <c:pt idx="49">
                  <c:v>0.20790857654542616</c:v>
                </c:pt>
                <c:pt idx="50">
                  <c:v>-0.16238516358687827</c:v>
                </c:pt>
                <c:pt idx="51">
                  <c:v>-0.36238516358687833</c:v>
                </c:pt>
                <c:pt idx="52">
                  <c:v>3.7614836413121688E-2</c:v>
                </c:pt>
                <c:pt idx="53">
                  <c:v>3.7614836413121688E-2</c:v>
                </c:pt>
                <c:pt idx="54">
                  <c:v>3.7614836413121688E-2</c:v>
                </c:pt>
                <c:pt idx="55">
                  <c:v>4.4011556280303177E-2</c:v>
                </c:pt>
                <c:pt idx="56">
                  <c:v>4.4011556280303177E-2</c:v>
                </c:pt>
                <c:pt idx="57">
                  <c:v>4.4011556280303177E-2</c:v>
                </c:pt>
                <c:pt idx="58">
                  <c:v>4.4011556280303177E-2</c:v>
                </c:pt>
                <c:pt idx="59">
                  <c:v>4.4011556280303177E-2</c:v>
                </c:pt>
                <c:pt idx="60">
                  <c:v>-0.12980063022824706</c:v>
                </c:pt>
                <c:pt idx="61">
                  <c:v>-2.9800630228247083E-2</c:v>
                </c:pt>
                <c:pt idx="62">
                  <c:v>7.0199369771752895E-2</c:v>
                </c:pt>
                <c:pt idx="63">
                  <c:v>7.0199369771752895E-2</c:v>
                </c:pt>
                <c:pt idx="64">
                  <c:v>7.0199369771752895E-2</c:v>
                </c:pt>
                <c:pt idx="65">
                  <c:v>-1.6846672829664788E-2</c:v>
                </c:pt>
                <c:pt idx="66">
                  <c:v>-0.11684667282966488</c:v>
                </c:pt>
                <c:pt idx="67">
                  <c:v>-0.11684667282966488</c:v>
                </c:pt>
                <c:pt idx="68">
                  <c:v>-0.11684667282966488</c:v>
                </c:pt>
                <c:pt idx="69">
                  <c:v>-0.21684667282966485</c:v>
                </c:pt>
                <c:pt idx="70">
                  <c:v>-9.2711847803715108E-2</c:v>
                </c:pt>
                <c:pt idx="71">
                  <c:v>-0.29271184780371512</c:v>
                </c:pt>
                <c:pt idx="72">
                  <c:v>-9.2711847803715108E-2</c:v>
                </c:pt>
                <c:pt idx="73">
                  <c:v>-9.2711847803715108E-2</c:v>
                </c:pt>
                <c:pt idx="74">
                  <c:v>-9.2711847803715108E-2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B0-4565-A347-61FAD7290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40736"/>
        <c:axId val="1"/>
      </c:scatterChart>
      <c:valAx>
        <c:axId val="1552240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47935465048055104"/>
              <c:y val="0.856462751172716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4.5456044442121223E-2"/>
              <c:y val="0.3911014875297376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5224073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DR to the complete data set</a:t>
            </a:r>
          </a:p>
        </c:rich>
      </c:tx>
      <c:layout>
        <c:manualLayout>
          <c:xMode val="edge"/>
          <c:yMode val="edge"/>
          <c:x val="0.16216727573678957"/>
          <c:y val="3.88361452713966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156718415578894"/>
          <c:y val="0.28884383045601258"/>
          <c:w val="0.66945977932366985"/>
          <c:h val="0.4466156706210614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(new)'!$M$227:$M$316</c:f>
              <c:numCache>
                <c:formatCode>General</c:formatCode>
                <c:ptCount val="90"/>
                <c:pt idx="0">
                  <c:v>2.2133446120056022E-2</c:v>
                </c:pt>
                <c:pt idx="1">
                  <c:v>2.2133446120056022E-2</c:v>
                </c:pt>
                <c:pt idx="2">
                  <c:v>2.2133446120056022E-2</c:v>
                </c:pt>
                <c:pt idx="3">
                  <c:v>2.2133446120056022E-2</c:v>
                </c:pt>
                <c:pt idx="4">
                  <c:v>2.2133446120056022E-2</c:v>
                </c:pt>
                <c:pt idx="5">
                  <c:v>4.4266892240112043E-2</c:v>
                </c:pt>
                <c:pt idx="6">
                  <c:v>4.4266892240112043E-2</c:v>
                </c:pt>
                <c:pt idx="7">
                  <c:v>4.4266892240112043E-2</c:v>
                </c:pt>
                <c:pt idx="8">
                  <c:v>4.4266892240112043E-2</c:v>
                </c:pt>
                <c:pt idx="9">
                  <c:v>4.4266892240112043E-2</c:v>
                </c:pt>
                <c:pt idx="10">
                  <c:v>8.8533784480224087E-2</c:v>
                </c:pt>
                <c:pt idx="11">
                  <c:v>8.8533784480224087E-2</c:v>
                </c:pt>
                <c:pt idx="12">
                  <c:v>8.8533784480224087E-2</c:v>
                </c:pt>
                <c:pt idx="13">
                  <c:v>8.8533784480224087E-2</c:v>
                </c:pt>
                <c:pt idx="14">
                  <c:v>8.8533784480224087E-2</c:v>
                </c:pt>
                <c:pt idx="15">
                  <c:v>0.17706756896044817</c:v>
                </c:pt>
                <c:pt idx="16">
                  <c:v>0.17706756896044817</c:v>
                </c:pt>
                <c:pt idx="17">
                  <c:v>0.17706756896044817</c:v>
                </c:pt>
                <c:pt idx="18">
                  <c:v>0.17706756896044817</c:v>
                </c:pt>
                <c:pt idx="19">
                  <c:v>0.17706756896044817</c:v>
                </c:pt>
                <c:pt idx="20">
                  <c:v>0.35413513792089635</c:v>
                </c:pt>
                <c:pt idx="21">
                  <c:v>0.35413513792089635</c:v>
                </c:pt>
                <c:pt idx="22">
                  <c:v>0.35413513792089635</c:v>
                </c:pt>
                <c:pt idx="23">
                  <c:v>0.35413513792089635</c:v>
                </c:pt>
                <c:pt idx="24">
                  <c:v>0.35413513792089635</c:v>
                </c:pt>
                <c:pt idx="25">
                  <c:v>4.1766892240112048E-2</c:v>
                </c:pt>
                <c:pt idx="26">
                  <c:v>4.1766892240112048E-2</c:v>
                </c:pt>
                <c:pt idx="27">
                  <c:v>4.1766892240112048E-2</c:v>
                </c:pt>
                <c:pt idx="28">
                  <c:v>4.1766892240112048E-2</c:v>
                </c:pt>
                <c:pt idx="29">
                  <c:v>4.1766892240112048E-2</c:v>
                </c:pt>
                <c:pt idx="30">
                  <c:v>8.3533784480224096E-2</c:v>
                </c:pt>
                <c:pt idx="31">
                  <c:v>8.3533784480224096E-2</c:v>
                </c:pt>
                <c:pt idx="32">
                  <c:v>8.3533784480224096E-2</c:v>
                </c:pt>
                <c:pt idx="33">
                  <c:v>8.3533784480224096E-2</c:v>
                </c:pt>
                <c:pt idx="34">
                  <c:v>8.3533784480224096E-2</c:v>
                </c:pt>
                <c:pt idx="35">
                  <c:v>0.16706756896044819</c:v>
                </c:pt>
                <c:pt idx="36">
                  <c:v>0.16706756896044819</c:v>
                </c:pt>
                <c:pt idx="37">
                  <c:v>0.16706756896044819</c:v>
                </c:pt>
                <c:pt idx="38">
                  <c:v>0.16706756896044819</c:v>
                </c:pt>
                <c:pt idx="39">
                  <c:v>0.16706756896044819</c:v>
                </c:pt>
                <c:pt idx="40">
                  <c:v>0.33413513792089639</c:v>
                </c:pt>
                <c:pt idx="41">
                  <c:v>0.33413513792089639</c:v>
                </c:pt>
                <c:pt idx="42">
                  <c:v>0.33413513792089639</c:v>
                </c:pt>
                <c:pt idx="43">
                  <c:v>0.33413513792089639</c:v>
                </c:pt>
                <c:pt idx="44">
                  <c:v>0.33413513792089639</c:v>
                </c:pt>
                <c:pt idx="45">
                  <c:v>0.66827027584179277</c:v>
                </c:pt>
                <c:pt idx="46">
                  <c:v>0.66827027584179277</c:v>
                </c:pt>
                <c:pt idx="47">
                  <c:v>0.66827027584179277</c:v>
                </c:pt>
                <c:pt idx="48">
                  <c:v>0.66827027584179277</c:v>
                </c:pt>
                <c:pt idx="49">
                  <c:v>0.66827027584179277</c:v>
                </c:pt>
                <c:pt idx="50">
                  <c:v>6.1400338360168075E-2</c:v>
                </c:pt>
                <c:pt idx="51">
                  <c:v>6.1400338360168075E-2</c:v>
                </c:pt>
                <c:pt idx="52">
                  <c:v>6.1400338360168075E-2</c:v>
                </c:pt>
                <c:pt idx="53">
                  <c:v>6.1400338360168075E-2</c:v>
                </c:pt>
                <c:pt idx="54">
                  <c:v>6.1400338360168075E-2</c:v>
                </c:pt>
                <c:pt idx="55">
                  <c:v>0.12280067672033615</c:v>
                </c:pt>
                <c:pt idx="56">
                  <c:v>0.12280067672033615</c:v>
                </c:pt>
                <c:pt idx="57">
                  <c:v>0.12280067672033615</c:v>
                </c:pt>
                <c:pt idx="58">
                  <c:v>0.12280067672033615</c:v>
                </c:pt>
                <c:pt idx="59">
                  <c:v>0.12280067672033615</c:v>
                </c:pt>
                <c:pt idx="60">
                  <c:v>0.2456013534406723</c:v>
                </c:pt>
                <c:pt idx="61">
                  <c:v>0.2456013534406723</c:v>
                </c:pt>
                <c:pt idx="62">
                  <c:v>0.2456013534406723</c:v>
                </c:pt>
                <c:pt idx="63">
                  <c:v>0.2456013534406723</c:v>
                </c:pt>
                <c:pt idx="64">
                  <c:v>0.2456013534406723</c:v>
                </c:pt>
                <c:pt idx="65">
                  <c:v>0.4912027068813446</c:v>
                </c:pt>
                <c:pt idx="66">
                  <c:v>0.4912027068813446</c:v>
                </c:pt>
                <c:pt idx="67">
                  <c:v>0.4912027068813446</c:v>
                </c:pt>
                <c:pt idx="68">
                  <c:v>0.4912027068813446</c:v>
                </c:pt>
                <c:pt idx="69">
                  <c:v>0.4912027068813446</c:v>
                </c:pt>
                <c:pt idx="70">
                  <c:v>0.98240541376268919</c:v>
                </c:pt>
                <c:pt idx="71">
                  <c:v>0.98240541376268919</c:v>
                </c:pt>
                <c:pt idx="72">
                  <c:v>0.98240541376268919</c:v>
                </c:pt>
                <c:pt idx="73">
                  <c:v>0.98240541376268919</c:v>
                </c:pt>
                <c:pt idx="74">
                  <c:v>0.98240541376268919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binary data model (new)'!$N$227:$N$316</c:f>
              <c:numCache>
                <c:formatCode>0.00</c:formatCode>
                <c:ptCount val="90"/>
                <c:pt idx="0">
                  <c:v>3.7955068854412133E-2</c:v>
                </c:pt>
                <c:pt idx="1">
                  <c:v>3.7955068854412133E-2</c:v>
                </c:pt>
                <c:pt idx="2">
                  <c:v>3.7955068854412133E-2</c:v>
                </c:pt>
                <c:pt idx="3">
                  <c:v>-6.2044931145587845E-2</c:v>
                </c:pt>
                <c:pt idx="4">
                  <c:v>3.7955068854412133E-2</c:v>
                </c:pt>
                <c:pt idx="5">
                  <c:v>4.132658404211309E-2</c:v>
                </c:pt>
                <c:pt idx="6">
                  <c:v>4.132658404211309E-2</c:v>
                </c:pt>
                <c:pt idx="7">
                  <c:v>4.132658404211309E-2</c:v>
                </c:pt>
                <c:pt idx="8">
                  <c:v>-5.8673415957886887E-2</c:v>
                </c:pt>
                <c:pt idx="9">
                  <c:v>-5.8673415957886887E-2</c:v>
                </c:pt>
                <c:pt idx="10">
                  <c:v>-0.15220297396031479</c:v>
                </c:pt>
                <c:pt idx="11">
                  <c:v>-5.2202973960314814E-2</c:v>
                </c:pt>
                <c:pt idx="12">
                  <c:v>-5.2202973960314814E-2</c:v>
                </c:pt>
                <c:pt idx="13">
                  <c:v>4.7797026039685164E-2</c:v>
                </c:pt>
                <c:pt idx="14">
                  <c:v>-0.25220297396031488</c:v>
                </c:pt>
                <c:pt idx="15">
                  <c:v>-3.8996484630958395E-2</c:v>
                </c:pt>
                <c:pt idx="16">
                  <c:v>6.1003515369041583E-2</c:v>
                </c:pt>
                <c:pt idx="17">
                  <c:v>6.1003515369041583E-2</c:v>
                </c:pt>
                <c:pt idx="18">
                  <c:v>6.1003515369041583E-2</c:v>
                </c:pt>
                <c:pt idx="19">
                  <c:v>-3.8996484630958395E-2</c:v>
                </c:pt>
                <c:pt idx="20">
                  <c:v>-0.10938336162822271</c:v>
                </c:pt>
                <c:pt idx="21">
                  <c:v>-9.3833616282227306E-3</c:v>
                </c:pt>
                <c:pt idx="22">
                  <c:v>9.0616638371777247E-2</c:v>
                </c:pt>
                <c:pt idx="23">
                  <c:v>9.0616638371777247E-2</c:v>
                </c:pt>
                <c:pt idx="24">
                  <c:v>-0.10938336162822271</c:v>
                </c:pt>
                <c:pt idx="25">
                  <c:v>4.0192612630997937E-2</c:v>
                </c:pt>
                <c:pt idx="26">
                  <c:v>4.0192612630997937E-2</c:v>
                </c:pt>
                <c:pt idx="27">
                  <c:v>4.0192612630997937E-2</c:v>
                </c:pt>
                <c:pt idx="28">
                  <c:v>4.0192612630997937E-2</c:v>
                </c:pt>
                <c:pt idx="29">
                  <c:v>4.0192612630997937E-2</c:v>
                </c:pt>
                <c:pt idx="30">
                  <c:v>4.7092354378074575E-2</c:v>
                </c:pt>
                <c:pt idx="31">
                  <c:v>4.7092354378074575E-2</c:v>
                </c:pt>
                <c:pt idx="32">
                  <c:v>4.7092354378074575E-2</c:v>
                </c:pt>
                <c:pt idx="33">
                  <c:v>-5.2907645621925403E-2</c:v>
                </c:pt>
                <c:pt idx="34">
                  <c:v>-5.2907645621925403E-2</c:v>
                </c:pt>
                <c:pt idx="35">
                  <c:v>6.5076838418727467E-2</c:v>
                </c:pt>
                <c:pt idx="36">
                  <c:v>-0.13492316158127249</c:v>
                </c:pt>
                <c:pt idx="37">
                  <c:v>-0.13492316158127249</c:v>
                </c:pt>
                <c:pt idx="38">
                  <c:v>6.5076838418727467E-2</c:v>
                </c:pt>
                <c:pt idx="39">
                  <c:v>6.5076838418727467E-2</c:v>
                </c:pt>
                <c:pt idx="40">
                  <c:v>0.12217136690162245</c:v>
                </c:pt>
                <c:pt idx="41">
                  <c:v>2.2171366901622469E-2</c:v>
                </c:pt>
                <c:pt idx="42">
                  <c:v>-0.27782863309837758</c:v>
                </c:pt>
                <c:pt idx="43">
                  <c:v>2.2171366901622469E-2</c:v>
                </c:pt>
                <c:pt idx="44">
                  <c:v>-7.7828633098377509E-2</c:v>
                </c:pt>
                <c:pt idx="45">
                  <c:v>0.21256798752377792</c:v>
                </c:pt>
                <c:pt idx="46">
                  <c:v>0.3125679875237779</c:v>
                </c:pt>
                <c:pt idx="47">
                  <c:v>1.2567987523777857E-2</c:v>
                </c:pt>
                <c:pt idx="48">
                  <c:v>-8.7432012476222121E-2</c:v>
                </c:pt>
                <c:pt idx="49">
                  <c:v>0.21256798752377792</c:v>
                </c:pt>
                <c:pt idx="50">
                  <c:v>-0.1612018729974245</c:v>
                </c:pt>
                <c:pt idx="51">
                  <c:v>-0.36120187299742457</c:v>
                </c:pt>
                <c:pt idx="52">
                  <c:v>3.8798127002575455E-2</c:v>
                </c:pt>
                <c:pt idx="53">
                  <c:v>3.8798127002575455E-2</c:v>
                </c:pt>
                <c:pt idx="54">
                  <c:v>3.8798127002575455E-2</c:v>
                </c:pt>
                <c:pt idx="55">
                  <c:v>4.6551247687486308E-2</c:v>
                </c:pt>
                <c:pt idx="56">
                  <c:v>4.6551247687486308E-2</c:v>
                </c:pt>
                <c:pt idx="57">
                  <c:v>4.6551247687486308E-2</c:v>
                </c:pt>
                <c:pt idx="58">
                  <c:v>4.6551247687486308E-2</c:v>
                </c:pt>
                <c:pt idx="59">
                  <c:v>4.6551247687486308E-2</c:v>
                </c:pt>
                <c:pt idx="60">
                  <c:v>-0.12496239200320658</c:v>
                </c:pt>
                <c:pt idx="61">
                  <c:v>-2.4962392003206602E-2</c:v>
                </c:pt>
                <c:pt idx="62">
                  <c:v>7.5037607996793376E-2</c:v>
                </c:pt>
                <c:pt idx="63">
                  <c:v>7.5037607996793376E-2</c:v>
                </c:pt>
                <c:pt idx="64">
                  <c:v>7.5037607996793376E-2</c:v>
                </c:pt>
                <c:pt idx="65">
                  <c:v>-6.8569188752314325E-3</c:v>
                </c:pt>
                <c:pt idx="66">
                  <c:v>-0.10685691887523152</c:v>
                </c:pt>
                <c:pt idx="67">
                  <c:v>-0.10685691887523152</c:v>
                </c:pt>
                <c:pt idx="68">
                  <c:v>-0.10685691887523152</c:v>
                </c:pt>
                <c:pt idx="69">
                  <c:v>-0.2068569188752315</c:v>
                </c:pt>
                <c:pt idx="70">
                  <c:v>-7.5984050780325441E-2</c:v>
                </c:pt>
                <c:pt idx="71">
                  <c:v>-0.27598405078032545</c:v>
                </c:pt>
                <c:pt idx="72">
                  <c:v>-7.5984050780325441E-2</c:v>
                </c:pt>
                <c:pt idx="73">
                  <c:v>-7.5984050780325441E-2</c:v>
                </c:pt>
                <c:pt idx="74">
                  <c:v>-7.5984050780325441E-2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E8-4EAC-9052-04E3BE988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60576"/>
        <c:axId val="1"/>
      </c:scatterChart>
      <c:valAx>
        <c:axId val="1552260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48026462429741529"/>
              <c:y val="0.85924971412965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4.5739488028325267E-2"/>
              <c:y val="0.3932159708728910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5226057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DL to the complete data set</a:t>
            </a:r>
          </a:p>
        </c:rich>
      </c:tx>
      <c:layout>
        <c:manualLayout>
          <c:xMode val="edge"/>
          <c:yMode val="edge"/>
          <c:x val="0.12343524941005812"/>
          <c:y val="3.8561727281692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431776159197476"/>
          <c:y val="0.2827860000657445"/>
          <c:w val="0.68830842467642583"/>
          <c:h val="0.4627407273803091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(new)'!$P$227:$P$316</c:f>
              <c:numCache>
                <c:formatCode>General</c:formatCode>
                <c:ptCount val="90"/>
                <c:pt idx="0">
                  <c:v>2.2881660448197047E-2</c:v>
                </c:pt>
                <c:pt idx="1">
                  <c:v>2.2881660448197047E-2</c:v>
                </c:pt>
                <c:pt idx="2">
                  <c:v>2.2881660448197047E-2</c:v>
                </c:pt>
                <c:pt idx="3">
                  <c:v>2.2881660448197047E-2</c:v>
                </c:pt>
                <c:pt idx="4">
                  <c:v>2.2881660448197047E-2</c:v>
                </c:pt>
                <c:pt idx="5">
                  <c:v>4.5763320896394094E-2</c:v>
                </c:pt>
                <c:pt idx="6">
                  <c:v>4.5763320896394094E-2</c:v>
                </c:pt>
                <c:pt idx="7">
                  <c:v>4.5763320896394094E-2</c:v>
                </c:pt>
                <c:pt idx="8">
                  <c:v>4.5763320896394094E-2</c:v>
                </c:pt>
                <c:pt idx="9">
                  <c:v>4.5763320896394094E-2</c:v>
                </c:pt>
                <c:pt idx="10">
                  <c:v>9.1526641792788188E-2</c:v>
                </c:pt>
                <c:pt idx="11">
                  <c:v>9.1526641792788188E-2</c:v>
                </c:pt>
                <c:pt idx="12">
                  <c:v>9.1526641792788188E-2</c:v>
                </c:pt>
                <c:pt idx="13">
                  <c:v>9.1526641792788188E-2</c:v>
                </c:pt>
                <c:pt idx="14">
                  <c:v>9.1526641792788188E-2</c:v>
                </c:pt>
                <c:pt idx="15">
                  <c:v>0.18305328358557638</c:v>
                </c:pt>
                <c:pt idx="16">
                  <c:v>0.18305328358557638</c:v>
                </c:pt>
                <c:pt idx="17">
                  <c:v>0.18305328358557638</c:v>
                </c:pt>
                <c:pt idx="18">
                  <c:v>0.18305328358557638</c:v>
                </c:pt>
                <c:pt idx="19">
                  <c:v>0.18305328358557638</c:v>
                </c:pt>
                <c:pt idx="20">
                  <c:v>0.36610656717115275</c:v>
                </c:pt>
                <c:pt idx="21">
                  <c:v>0.36610656717115275</c:v>
                </c:pt>
                <c:pt idx="22">
                  <c:v>0.36610656717115275</c:v>
                </c:pt>
                <c:pt idx="23">
                  <c:v>0.36610656717115275</c:v>
                </c:pt>
                <c:pt idx="24">
                  <c:v>0.36610656717115275</c:v>
                </c:pt>
                <c:pt idx="25">
                  <c:v>4.3263320896394099E-2</c:v>
                </c:pt>
                <c:pt idx="26">
                  <c:v>4.3263320896394099E-2</c:v>
                </c:pt>
                <c:pt idx="27">
                  <c:v>4.3263320896394099E-2</c:v>
                </c:pt>
                <c:pt idx="28">
                  <c:v>4.3263320896394099E-2</c:v>
                </c:pt>
                <c:pt idx="29">
                  <c:v>4.3263320896394099E-2</c:v>
                </c:pt>
                <c:pt idx="30">
                  <c:v>8.6526641792788198E-2</c:v>
                </c:pt>
                <c:pt idx="31">
                  <c:v>8.6526641792788198E-2</c:v>
                </c:pt>
                <c:pt idx="32">
                  <c:v>8.6526641792788198E-2</c:v>
                </c:pt>
                <c:pt idx="33">
                  <c:v>8.6526641792788198E-2</c:v>
                </c:pt>
                <c:pt idx="34">
                  <c:v>8.6526641792788198E-2</c:v>
                </c:pt>
                <c:pt idx="35">
                  <c:v>0.1730532835855764</c:v>
                </c:pt>
                <c:pt idx="36">
                  <c:v>0.1730532835855764</c:v>
                </c:pt>
                <c:pt idx="37">
                  <c:v>0.1730532835855764</c:v>
                </c:pt>
                <c:pt idx="38">
                  <c:v>0.1730532835855764</c:v>
                </c:pt>
                <c:pt idx="39">
                  <c:v>0.1730532835855764</c:v>
                </c:pt>
                <c:pt idx="40">
                  <c:v>0.34610656717115279</c:v>
                </c:pt>
                <c:pt idx="41">
                  <c:v>0.34610656717115279</c:v>
                </c:pt>
                <c:pt idx="42">
                  <c:v>0.34610656717115279</c:v>
                </c:pt>
                <c:pt idx="43">
                  <c:v>0.34610656717115279</c:v>
                </c:pt>
                <c:pt idx="44">
                  <c:v>0.34610656717115279</c:v>
                </c:pt>
                <c:pt idx="45">
                  <c:v>0.69221313434230558</c:v>
                </c:pt>
                <c:pt idx="46">
                  <c:v>0.69221313434230558</c:v>
                </c:pt>
                <c:pt idx="47">
                  <c:v>0.69221313434230558</c:v>
                </c:pt>
                <c:pt idx="48">
                  <c:v>0.69221313434230558</c:v>
                </c:pt>
                <c:pt idx="49">
                  <c:v>0.69221313434230558</c:v>
                </c:pt>
                <c:pt idx="50">
                  <c:v>6.3644981344591151E-2</c:v>
                </c:pt>
                <c:pt idx="51">
                  <c:v>6.3644981344591151E-2</c:v>
                </c:pt>
                <c:pt idx="52">
                  <c:v>6.3644981344591151E-2</c:v>
                </c:pt>
                <c:pt idx="53">
                  <c:v>6.3644981344591151E-2</c:v>
                </c:pt>
                <c:pt idx="54">
                  <c:v>6.3644981344591151E-2</c:v>
                </c:pt>
                <c:pt idx="55">
                  <c:v>0.1272899626891823</c:v>
                </c:pt>
                <c:pt idx="56">
                  <c:v>0.1272899626891823</c:v>
                </c:pt>
                <c:pt idx="57">
                  <c:v>0.1272899626891823</c:v>
                </c:pt>
                <c:pt idx="58">
                  <c:v>0.1272899626891823</c:v>
                </c:pt>
                <c:pt idx="59">
                  <c:v>0.1272899626891823</c:v>
                </c:pt>
                <c:pt idx="60">
                  <c:v>0.2545799253783646</c:v>
                </c:pt>
                <c:pt idx="61">
                  <c:v>0.2545799253783646</c:v>
                </c:pt>
                <c:pt idx="62">
                  <c:v>0.2545799253783646</c:v>
                </c:pt>
                <c:pt idx="63">
                  <c:v>0.2545799253783646</c:v>
                </c:pt>
                <c:pt idx="64">
                  <c:v>0.2545799253783646</c:v>
                </c:pt>
                <c:pt idx="65">
                  <c:v>0.5091598507567292</c:v>
                </c:pt>
                <c:pt idx="66">
                  <c:v>0.5091598507567292</c:v>
                </c:pt>
                <c:pt idx="67">
                  <c:v>0.5091598507567292</c:v>
                </c:pt>
                <c:pt idx="68">
                  <c:v>0.5091598507567292</c:v>
                </c:pt>
                <c:pt idx="69">
                  <c:v>0.5091598507567292</c:v>
                </c:pt>
                <c:pt idx="70">
                  <c:v>1.0183197015134584</c:v>
                </c:pt>
                <c:pt idx="71">
                  <c:v>1.0183197015134584</c:v>
                </c:pt>
                <c:pt idx="72">
                  <c:v>1.0183197015134584</c:v>
                </c:pt>
                <c:pt idx="73">
                  <c:v>1.0183197015134584</c:v>
                </c:pt>
                <c:pt idx="74">
                  <c:v>1.0183197015134584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binary data model (new)'!$Q$227:$Q$316</c:f>
              <c:numCache>
                <c:formatCode>0.00</c:formatCode>
                <c:ptCount val="90"/>
                <c:pt idx="0">
                  <c:v>3.8190533793041936E-2</c:v>
                </c:pt>
                <c:pt idx="1">
                  <c:v>3.8190533793041936E-2</c:v>
                </c:pt>
                <c:pt idx="2">
                  <c:v>3.8190533793041936E-2</c:v>
                </c:pt>
                <c:pt idx="3">
                  <c:v>-6.1809466206958041E-2</c:v>
                </c:pt>
                <c:pt idx="4">
                  <c:v>3.8190533793041936E-2</c:v>
                </c:pt>
                <c:pt idx="5">
                  <c:v>4.2438866787325447E-2</c:v>
                </c:pt>
                <c:pt idx="6">
                  <c:v>4.2438866787325447E-2</c:v>
                </c:pt>
                <c:pt idx="7">
                  <c:v>4.2438866787325447E-2</c:v>
                </c:pt>
                <c:pt idx="8">
                  <c:v>-5.7561133212674531E-2</c:v>
                </c:pt>
                <c:pt idx="9">
                  <c:v>-5.7561133212674531E-2</c:v>
                </c:pt>
                <c:pt idx="10">
                  <c:v>-0.14874978832506414</c:v>
                </c:pt>
                <c:pt idx="11">
                  <c:v>-4.8749788325064158E-2</c:v>
                </c:pt>
                <c:pt idx="12">
                  <c:v>-4.8749788325064158E-2</c:v>
                </c:pt>
                <c:pt idx="13">
                  <c:v>5.1250211674935819E-2</c:v>
                </c:pt>
                <c:pt idx="14">
                  <c:v>-0.24874978832506422</c:v>
                </c:pt>
                <c:pt idx="15">
                  <c:v>-2.8718417020217601E-2</c:v>
                </c:pt>
                <c:pt idx="16">
                  <c:v>7.1281582979782376E-2</c:v>
                </c:pt>
                <c:pt idx="17">
                  <c:v>7.1281582979782376E-2</c:v>
                </c:pt>
                <c:pt idx="18">
                  <c:v>7.1281582979782376E-2</c:v>
                </c:pt>
                <c:pt idx="19">
                  <c:v>-2.8718417020217601E-2</c:v>
                </c:pt>
                <c:pt idx="20">
                  <c:v>-7.6920140201892417E-2</c:v>
                </c:pt>
                <c:pt idx="21">
                  <c:v>2.307985979810756E-2</c:v>
                </c:pt>
                <c:pt idx="22">
                  <c:v>0.12307985979810754</c:v>
                </c:pt>
                <c:pt idx="23">
                  <c:v>0.12307985979810754</c:v>
                </c:pt>
                <c:pt idx="24">
                  <c:v>-7.6920140201892417E-2</c:v>
                </c:pt>
                <c:pt idx="25">
                  <c:v>3.8391052840987427E-2</c:v>
                </c:pt>
                <c:pt idx="26">
                  <c:v>3.8391052840987427E-2</c:v>
                </c:pt>
                <c:pt idx="27">
                  <c:v>3.8391052840987427E-2</c:v>
                </c:pt>
                <c:pt idx="28">
                  <c:v>3.8391052840987427E-2</c:v>
                </c:pt>
                <c:pt idx="29">
                  <c:v>3.8391052840987427E-2</c:v>
                </c:pt>
                <c:pt idx="30">
                  <c:v>4.4139646761896856E-2</c:v>
                </c:pt>
                <c:pt idx="31">
                  <c:v>4.4139646761896856E-2</c:v>
                </c:pt>
                <c:pt idx="32">
                  <c:v>4.4139646761896856E-2</c:v>
                </c:pt>
                <c:pt idx="33">
                  <c:v>-5.5860353238103122E-2</c:v>
                </c:pt>
                <c:pt idx="34">
                  <c:v>-5.5860353238103122E-2</c:v>
                </c:pt>
                <c:pt idx="35">
                  <c:v>5.9742300508945023E-2</c:v>
                </c:pt>
                <c:pt idx="36">
                  <c:v>-0.14025769949105493</c:v>
                </c:pt>
                <c:pt idx="37">
                  <c:v>-0.14025769949105493</c:v>
                </c:pt>
                <c:pt idx="38">
                  <c:v>5.9742300508945023E-2</c:v>
                </c:pt>
                <c:pt idx="39">
                  <c:v>5.9742300508945023E-2</c:v>
                </c:pt>
                <c:pt idx="40">
                  <c:v>0.11069976059099851</c:v>
                </c:pt>
                <c:pt idx="41">
                  <c:v>1.069976059099853E-2</c:v>
                </c:pt>
                <c:pt idx="42">
                  <c:v>-0.28930023940900151</c:v>
                </c:pt>
                <c:pt idx="43">
                  <c:v>1.069976059099853E-2</c:v>
                </c:pt>
                <c:pt idx="44">
                  <c:v>-8.9300239409001447E-2</c:v>
                </c:pt>
                <c:pt idx="45">
                  <c:v>0.18465892751561286</c:v>
                </c:pt>
                <c:pt idx="46">
                  <c:v>0.28465892751561284</c:v>
                </c:pt>
                <c:pt idx="47">
                  <c:v>-1.5341072484387208E-2</c:v>
                </c:pt>
                <c:pt idx="48">
                  <c:v>-0.11534107248438719</c:v>
                </c:pt>
                <c:pt idx="49">
                  <c:v>0.18465892751561286</c:v>
                </c:pt>
                <c:pt idx="50">
                  <c:v>-0.16226418210647298</c:v>
                </c:pt>
                <c:pt idx="51">
                  <c:v>-0.36226418210647304</c:v>
                </c:pt>
                <c:pt idx="52">
                  <c:v>3.7735817893526979E-2</c:v>
                </c:pt>
                <c:pt idx="53">
                  <c:v>3.7735817893526979E-2</c:v>
                </c:pt>
                <c:pt idx="54">
                  <c:v>3.7735817893526979E-2</c:v>
                </c:pt>
                <c:pt idx="55">
                  <c:v>4.5155693162463484E-2</c:v>
                </c:pt>
                <c:pt idx="56">
                  <c:v>4.5155693162463484E-2</c:v>
                </c:pt>
                <c:pt idx="57">
                  <c:v>4.5155693162463484E-2</c:v>
                </c:pt>
                <c:pt idx="58">
                  <c:v>4.5155693162463484E-2</c:v>
                </c:pt>
                <c:pt idx="59">
                  <c:v>4.5155693162463484E-2</c:v>
                </c:pt>
                <c:pt idx="60">
                  <c:v>-0.12669664403148384</c:v>
                </c:pt>
                <c:pt idx="61">
                  <c:v>-2.6696644031483863E-2</c:v>
                </c:pt>
                <c:pt idx="62">
                  <c:v>7.3303355968516115E-2</c:v>
                </c:pt>
                <c:pt idx="63">
                  <c:v>7.3303355968516115E-2</c:v>
                </c:pt>
                <c:pt idx="64">
                  <c:v>7.3303355968516115E-2</c:v>
                </c:pt>
                <c:pt idx="65">
                  <c:v>-1.2266734005602187E-2</c:v>
                </c:pt>
                <c:pt idx="66">
                  <c:v>-0.11226673400560228</c:v>
                </c:pt>
                <c:pt idx="67">
                  <c:v>-0.11226673400560228</c:v>
                </c:pt>
                <c:pt idx="68">
                  <c:v>-0.11226673400560228</c:v>
                </c:pt>
                <c:pt idx="69">
                  <c:v>-0.21226673400560225</c:v>
                </c:pt>
                <c:pt idx="70">
                  <c:v>-9.4863621100740592E-2</c:v>
                </c:pt>
                <c:pt idx="71">
                  <c:v>-0.2948636211007406</c:v>
                </c:pt>
                <c:pt idx="72">
                  <c:v>-9.4863621100740592E-2</c:v>
                </c:pt>
                <c:pt idx="73">
                  <c:v>-9.4863621100740592E-2</c:v>
                </c:pt>
                <c:pt idx="74">
                  <c:v>-9.4863621100740592E-2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A0-4EE8-860D-D7E2B8D44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42224"/>
        <c:axId val="1"/>
      </c:scatterChart>
      <c:valAx>
        <c:axId val="1552242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47491189179802024"/>
              <c:y val="0.861211909291130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4.6026703169852183E-2"/>
              <c:y val="0.3984711819108217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5224222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Experimental Design</a:t>
            </a:r>
          </a:p>
        </c:rich>
      </c:tx>
      <c:layout>
        <c:manualLayout>
          <c:xMode val="edge"/>
          <c:yMode val="edge"/>
          <c:x val="0.28200445438131888"/>
          <c:y val="3.81178647382927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126503343765022"/>
          <c:y val="0.14350254960298453"/>
          <c:w val="0.71151893105440456"/>
          <c:h val="0.621096972500417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(new)'!$A$25:$A$224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110">
                  <c:v>0.1875</c:v>
                </c:pt>
                <c:pt idx="111">
                  <c:v>0.1875</c:v>
                </c:pt>
                <c:pt idx="112">
                  <c:v>0.1875</c:v>
                </c:pt>
                <c:pt idx="113">
                  <c:v>0.1875</c:v>
                </c:pt>
                <c:pt idx="114">
                  <c:v>0.1875</c:v>
                </c:pt>
                <c:pt idx="115">
                  <c:v>0.375</c:v>
                </c:pt>
                <c:pt idx="116">
                  <c:v>0.375</c:v>
                </c:pt>
                <c:pt idx="117">
                  <c:v>0.375</c:v>
                </c:pt>
                <c:pt idx="118">
                  <c:v>0.375</c:v>
                </c:pt>
                <c:pt idx="119">
                  <c:v>0.375</c:v>
                </c:pt>
                <c:pt idx="120">
                  <c:v>0.75</c:v>
                </c:pt>
                <c:pt idx="121">
                  <c:v>0.75</c:v>
                </c:pt>
                <c:pt idx="122">
                  <c:v>0.75</c:v>
                </c:pt>
                <c:pt idx="123">
                  <c:v>0.75</c:v>
                </c:pt>
                <c:pt idx="124">
                  <c:v>0.75</c:v>
                </c:pt>
                <c:pt idx="125">
                  <c:v>1.5</c:v>
                </c:pt>
                <c:pt idx="126">
                  <c:v>1.5</c:v>
                </c:pt>
                <c:pt idx="127">
                  <c:v>1.5</c:v>
                </c:pt>
                <c:pt idx="128">
                  <c:v>1.5</c:v>
                </c:pt>
                <c:pt idx="129">
                  <c:v>1.5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0.125</c:v>
                </c:pt>
                <c:pt idx="136">
                  <c:v>0.125</c:v>
                </c:pt>
                <c:pt idx="137">
                  <c:v>0.125</c:v>
                </c:pt>
                <c:pt idx="138">
                  <c:v>0.125</c:v>
                </c:pt>
                <c:pt idx="139">
                  <c:v>0.125</c:v>
                </c:pt>
                <c:pt idx="140">
                  <c:v>0.25</c:v>
                </c:pt>
                <c:pt idx="141">
                  <c:v>0.25</c:v>
                </c:pt>
                <c:pt idx="142">
                  <c:v>0.25</c:v>
                </c:pt>
                <c:pt idx="143">
                  <c:v>0.25</c:v>
                </c:pt>
                <c:pt idx="144">
                  <c:v>0.25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6.25E-2</c:v>
                </c:pt>
                <c:pt idx="161">
                  <c:v>6.25E-2</c:v>
                </c:pt>
                <c:pt idx="162">
                  <c:v>6.25E-2</c:v>
                </c:pt>
                <c:pt idx="163">
                  <c:v>6.25E-2</c:v>
                </c:pt>
                <c:pt idx="164">
                  <c:v>6.25E-2</c:v>
                </c:pt>
                <c:pt idx="165">
                  <c:v>0.125</c:v>
                </c:pt>
                <c:pt idx="166">
                  <c:v>0.125</c:v>
                </c:pt>
                <c:pt idx="167">
                  <c:v>0.125</c:v>
                </c:pt>
                <c:pt idx="168">
                  <c:v>0.125</c:v>
                </c:pt>
                <c:pt idx="169">
                  <c:v>0.125</c:v>
                </c:pt>
                <c:pt idx="170">
                  <c:v>0.25</c:v>
                </c:pt>
                <c:pt idx="171">
                  <c:v>0.25</c:v>
                </c:pt>
                <c:pt idx="172">
                  <c:v>0.25</c:v>
                </c:pt>
                <c:pt idx="173">
                  <c:v>0.25</c:v>
                </c:pt>
                <c:pt idx="174">
                  <c:v>0.25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</c:numCache>
            </c:numRef>
          </c:xVal>
          <c:yVal>
            <c:numRef>
              <c:f>'CA - binary data model (new)'!$B$25:$B$224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65">
                  <c:v>7.4999999999999997E-2</c:v>
                </c:pt>
                <c:pt idx="66">
                  <c:v>7.4999999999999997E-2</c:v>
                </c:pt>
                <c:pt idx="67">
                  <c:v>7.4999999999999997E-2</c:v>
                </c:pt>
                <c:pt idx="68">
                  <c:v>7.4999999999999997E-2</c:v>
                </c:pt>
                <c:pt idx="69">
                  <c:v>7.4999999999999997E-2</c:v>
                </c:pt>
                <c:pt idx="70">
                  <c:v>0.15</c:v>
                </c:pt>
                <c:pt idx="71">
                  <c:v>0.15</c:v>
                </c:pt>
                <c:pt idx="72">
                  <c:v>0.15</c:v>
                </c:pt>
                <c:pt idx="73">
                  <c:v>0.15</c:v>
                </c:pt>
                <c:pt idx="74">
                  <c:v>0.15</c:v>
                </c:pt>
                <c:pt idx="75">
                  <c:v>0.3</c:v>
                </c:pt>
                <c:pt idx="76">
                  <c:v>0.3</c:v>
                </c:pt>
                <c:pt idx="77">
                  <c:v>0.3</c:v>
                </c:pt>
                <c:pt idx="78">
                  <c:v>0.3</c:v>
                </c:pt>
                <c:pt idx="79">
                  <c:v>0.3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1.2</c:v>
                </c:pt>
                <c:pt idx="86">
                  <c:v>1.2</c:v>
                </c:pt>
                <c:pt idx="87">
                  <c:v>1.2</c:v>
                </c:pt>
                <c:pt idx="88">
                  <c:v>1.2</c:v>
                </c:pt>
                <c:pt idx="89">
                  <c:v>1.2</c:v>
                </c:pt>
                <c:pt idx="110">
                  <c:v>1.8749999999999999E-2</c:v>
                </c:pt>
                <c:pt idx="111">
                  <c:v>1.8749999999999999E-2</c:v>
                </c:pt>
                <c:pt idx="112">
                  <c:v>1.8749999999999999E-2</c:v>
                </c:pt>
                <c:pt idx="113">
                  <c:v>1.8749999999999999E-2</c:v>
                </c:pt>
                <c:pt idx="114">
                  <c:v>1.8749999999999999E-2</c:v>
                </c:pt>
                <c:pt idx="115">
                  <c:v>3.7499999999999999E-2</c:v>
                </c:pt>
                <c:pt idx="116">
                  <c:v>3.7499999999999999E-2</c:v>
                </c:pt>
                <c:pt idx="117">
                  <c:v>3.7499999999999999E-2</c:v>
                </c:pt>
                <c:pt idx="118">
                  <c:v>3.7499999999999999E-2</c:v>
                </c:pt>
                <c:pt idx="119">
                  <c:v>3.7499999999999999E-2</c:v>
                </c:pt>
                <c:pt idx="120">
                  <c:v>7.4999999999999997E-2</c:v>
                </c:pt>
                <c:pt idx="121">
                  <c:v>7.4999999999999997E-2</c:v>
                </c:pt>
                <c:pt idx="122">
                  <c:v>7.4999999999999997E-2</c:v>
                </c:pt>
                <c:pt idx="123">
                  <c:v>7.4999999999999997E-2</c:v>
                </c:pt>
                <c:pt idx="124">
                  <c:v>7.4999999999999997E-2</c:v>
                </c:pt>
                <c:pt idx="125">
                  <c:v>0.15</c:v>
                </c:pt>
                <c:pt idx="126">
                  <c:v>0.15</c:v>
                </c:pt>
                <c:pt idx="127">
                  <c:v>0.15</c:v>
                </c:pt>
                <c:pt idx="128">
                  <c:v>0.15</c:v>
                </c:pt>
                <c:pt idx="129">
                  <c:v>0.15</c:v>
                </c:pt>
                <c:pt idx="130">
                  <c:v>0.3</c:v>
                </c:pt>
                <c:pt idx="131">
                  <c:v>0.3</c:v>
                </c:pt>
                <c:pt idx="132">
                  <c:v>0.3</c:v>
                </c:pt>
                <c:pt idx="133">
                  <c:v>0.3</c:v>
                </c:pt>
                <c:pt idx="134">
                  <c:v>0.3</c:v>
                </c:pt>
                <c:pt idx="135">
                  <c:v>3.7499999999999999E-2</c:v>
                </c:pt>
                <c:pt idx="136">
                  <c:v>3.7499999999999999E-2</c:v>
                </c:pt>
                <c:pt idx="137">
                  <c:v>3.7499999999999999E-2</c:v>
                </c:pt>
                <c:pt idx="138">
                  <c:v>3.7499999999999999E-2</c:v>
                </c:pt>
                <c:pt idx="139">
                  <c:v>3.7499999999999999E-2</c:v>
                </c:pt>
                <c:pt idx="140">
                  <c:v>7.4999999999999997E-2</c:v>
                </c:pt>
                <c:pt idx="141">
                  <c:v>7.4999999999999997E-2</c:v>
                </c:pt>
                <c:pt idx="142">
                  <c:v>7.4999999999999997E-2</c:v>
                </c:pt>
                <c:pt idx="143">
                  <c:v>7.4999999999999997E-2</c:v>
                </c:pt>
                <c:pt idx="144">
                  <c:v>7.4999999999999997E-2</c:v>
                </c:pt>
                <c:pt idx="145">
                  <c:v>0.15</c:v>
                </c:pt>
                <c:pt idx="146">
                  <c:v>0.15</c:v>
                </c:pt>
                <c:pt idx="147">
                  <c:v>0.15</c:v>
                </c:pt>
                <c:pt idx="148">
                  <c:v>0.15</c:v>
                </c:pt>
                <c:pt idx="149">
                  <c:v>0.15</c:v>
                </c:pt>
                <c:pt idx="150">
                  <c:v>0.3</c:v>
                </c:pt>
                <c:pt idx="151">
                  <c:v>0.3</c:v>
                </c:pt>
                <c:pt idx="152">
                  <c:v>0.3</c:v>
                </c:pt>
                <c:pt idx="153">
                  <c:v>0.3</c:v>
                </c:pt>
                <c:pt idx="154">
                  <c:v>0.3</c:v>
                </c:pt>
                <c:pt idx="155">
                  <c:v>0.6</c:v>
                </c:pt>
                <c:pt idx="156">
                  <c:v>0.6</c:v>
                </c:pt>
                <c:pt idx="157">
                  <c:v>0.6</c:v>
                </c:pt>
                <c:pt idx="158">
                  <c:v>0.6</c:v>
                </c:pt>
                <c:pt idx="159">
                  <c:v>0.6</c:v>
                </c:pt>
                <c:pt idx="160">
                  <c:v>5.6250000000000001E-2</c:v>
                </c:pt>
                <c:pt idx="161">
                  <c:v>5.6250000000000001E-2</c:v>
                </c:pt>
                <c:pt idx="162">
                  <c:v>5.6250000000000001E-2</c:v>
                </c:pt>
                <c:pt idx="163">
                  <c:v>5.6250000000000001E-2</c:v>
                </c:pt>
                <c:pt idx="164">
                  <c:v>5.6250000000000001E-2</c:v>
                </c:pt>
                <c:pt idx="165">
                  <c:v>0.1125</c:v>
                </c:pt>
                <c:pt idx="166">
                  <c:v>0.1125</c:v>
                </c:pt>
                <c:pt idx="167">
                  <c:v>0.1125</c:v>
                </c:pt>
                <c:pt idx="168">
                  <c:v>0.1125</c:v>
                </c:pt>
                <c:pt idx="169">
                  <c:v>0.1125</c:v>
                </c:pt>
                <c:pt idx="170">
                  <c:v>0.22500000000000001</c:v>
                </c:pt>
                <c:pt idx="171">
                  <c:v>0.22500000000000001</c:v>
                </c:pt>
                <c:pt idx="172">
                  <c:v>0.22500000000000001</c:v>
                </c:pt>
                <c:pt idx="173">
                  <c:v>0.22500000000000001</c:v>
                </c:pt>
                <c:pt idx="174">
                  <c:v>0.22500000000000001</c:v>
                </c:pt>
                <c:pt idx="175">
                  <c:v>0.45</c:v>
                </c:pt>
                <c:pt idx="176">
                  <c:v>0.45</c:v>
                </c:pt>
                <c:pt idx="177">
                  <c:v>0.45</c:v>
                </c:pt>
                <c:pt idx="178">
                  <c:v>0.45</c:v>
                </c:pt>
                <c:pt idx="179">
                  <c:v>0.45</c:v>
                </c:pt>
                <c:pt idx="180">
                  <c:v>0.9</c:v>
                </c:pt>
                <c:pt idx="181">
                  <c:v>0.9</c:v>
                </c:pt>
                <c:pt idx="182">
                  <c:v>0.9</c:v>
                </c:pt>
                <c:pt idx="183">
                  <c:v>0.9</c:v>
                </c:pt>
                <c:pt idx="184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13-4E53-9CF7-B81DB517A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50656"/>
        <c:axId val="1"/>
      </c:scatterChart>
      <c:valAx>
        <c:axId val="1552250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46205345217862248"/>
              <c:y val="0.887922025668466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1.7354120269619626E-2"/>
              <c:y val="0.28924732654351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5225065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Synergism/Antagonism</a:t>
            </a:r>
          </a:p>
        </c:rich>
      </c:tx>
      <c:layout>
        <c:manualLayout>
          <c:xMode val="edge"/>
          <c:yMode val="edge"/>
          <c:x val="0.26201777730274733"/>
          <c:y val="2.74608804876663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581599957247262"/>
          <c:y val="0.14874643597485965"/>
          <c:w val="0.6484939988242997"/>
          <c:h val="0.60413937072866075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(new)'!$E$45:$E$89</c:f>
              <c:numCache>
                <c:formatCode>0.00</c:formatCode>
                <c:ptCount val="45"/>
                <c:pt idx="0">
                  <c:v>1</c:v>
                </c:pt>
                <c:pt idx="1">
                  <c:v>0.8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0.9</c:v>
                </c:pt>
                <c:pt idx="10">
                  <c:v>1</c:v>
                </c:pt>
                <c:pt idx="11">
                  <c:v>0.9</c:v>
                </c:pt>
                <c:pt idx="12">
                  <c:v>0.8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0.9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0.9</c:v>
                </c:pt>
                <c:pt idx="23">
                  <c:v>0.8</c:v>
                </c:pt>
                <c:pt idx="24">
                  <c:v>0.8</c:v>
                </c:pt>
              </c:numCache>
            </c:numRef>
          </c:xVal>
          <c:yVal>
            <c:numRef>
              <c:f>'CA - binary data model (new)'!$J$45:$J$89</c:f>
              <c:numCache>
                <c:formatCode>0.00</c:formatCode>
                <c:ptCount val="45"/>
                <c:pt idx="0">
                  <c:v>0.9598526211130457</c:v>
                </c:pt>
                <c:pt idx="1">
                  <c:v>0.9598526211130457</c:v>
                </c:pt>
                <c:pt idx="2">
                  <c:v>0.9598526211130457</c:v>
                </c:pt>
                <c:pt idx="3">
                  <c:v>0.9598526211130457</c:v>
                </c:pt>
                <c:pt idx="4">
                  <c:v>0.9598526211130457</c:v>
                </c:pt>
                <c:pt idx="5">
                  <c:v>0.9546852903984776</c:v>
                </c:pt>
                <c:pt idx="6">
                  <c:v>0.9546852903984776</c:v>
                </c:pt>
                <c:pt idx="7">
                  <c:v>0.9546852903984776</c:v>
                </c:pt>
                <c:pt idx="8">
                  <c:v>0.9546852903984776</c:v>
                </c:pt>
                <c:pt idx="9">
                  <c:v>0.9546852903984776</c:v>
                </c:pt>
                <c:pt idx="10">
                  <c:v>0.94566922800604614</c:v>
                </c:pt>
                <c:pt idx="11">
                  <c:v>0.94566922800604614</c:v>
                </c:pt>
                <c:pt idx="12">
                  <c:v>0.94566922800604614</c:v>
                </c:pt>
                <c:pt idx="13">
                  <c:v>0.94566922800604614</c:v>
                </c:pt>
                <c:pt idx="14">
                  <c:v>0.94566922800604614</c:v>
                </c:pt>
                <c:pt idx="15">
                  <c:v>0.9301147205422674</c:v>
                </c:pt>
                <c:pt idx="16">
                  <c:v>0.9301147205422674</c:v>
                </c:pt>
                <c:pt idx="17">
                  <c:v>0.9301147205422674</c:v>
                </c:pt>
                <c:pt idx="18">
                  <c:v>0.9301147205422674</c:v>
                </c:pt>
                <c:pt idx="19">
                  <c:v>0.9301147205422674</c:v>
                </c:pt>
                <c:pt idx="20">
                  <c:v>0.90379646620699428</c:v>
                </c:pt>
                <c:pt idx="21">
                  <c:v>0.90379646620699428</c:v>
                </c:pt>
                <c:pt idx="22">
                  <c:v>0.90379646620699428</c:v>
                </c:pt>
                <c:pt idx="23">
                  <c:v>0.90379646620699428</c:v>
                </c:pt>
                <c:pt idx="24">
                  <c:v>0.90379646620699428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4C-43B1-AEAA-D5457A41B132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(new)'!$E$90:$E$134</c:f>
              <c:numCache>
                <c:formatCode>0.00</c:formatCode>
                <c:ptCount val="4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0.8</c:v>
                </c:pt>
                <c:pt idx="8">
                  <c:v>1</c:v>
                </c:pt>
                <c:pt idx="9">
                  <c:v>1</c:v>
                </c:pt>
                <c:pt idx="10">
                  <c:v>0.8</c:v>
                </c:pt>
                <c:pt idx="11">
                  <c:v>1</c:v>
                </c:pt>
                <c:pt idx="12">
                  <c:v>1</c:v>
                </c:pt>
                <c:pt idx="13">
                  <c:v>0.9</c:v>
                </c:pt>
                <c:pt idx="14">
                  <c:v>0.9</c:v>
                </c:pt>
                <c:pt idx="15">
                  <c:v>0.8</c:v>
                </c:pt>
                <c:pt idx="16">
                  <c:v>0.7</c:v>
                </c:pt>
                <c:pt idx="17">
                  <c:v>0.9</c:v>
                </c:pt>
                <c:pt idx="18">
                  <c:v>0.8</c:v>
                </c:pt>
                <c:pt idx="19">
                  <c:v>0.7</c:v>
                </c:pt>
                <c:pt idx="20">
                  <c:v>0.1</c:v>
                </c:pt>
                <c:pt idx="21">
                  <c:v>0.3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</c:numCache>
            </c:numRef>
          </c:xVal>
          <c:yVal>
            <c:numRef>
              <c:f>'CA - binary data model (new)'!$J$90:$J$134</c:f>
              <c:numCache>
                <c:formatCode>0.00</c:formatCode>
                <c:ptCount val="45"/>
                <c:pt idx="0">
                  <c:v>0.96418659828636732</c:v>
                </c:pt>
                <c:pt idx="1">
                  <c:v>0.96418659828636732</c:v>
                </c:pt>
                <c:pt idx="2">
                  <c:v>0.96418659828636732</c:v>
                </c:pt>
                <c:pt idx="3">
                  <c:v>0.96418659828636732</c:v>
                </c:pt>
                <c:pt idx="4">
                  <c:v>0.96418659828636732</c:v>
                </c:pt>
                <c:pt idx="5">
                  <c:v>0.95374727436310747</c:v>
                </c:pt>
                <c:pt idx="6">
                  <c:v>0.95374727436310747</c:v>
                </c:pt>
                <c:pt idx="7">
                  <c:v>0.95374727436310747</c:v>
                </c:pt>
                <c:pt idx="8">
                  <c:v>0.95374727436310747</c:v>
                </c:pt>
                <c:pt idx="9">
                  <c:v>0.95374727436310747</c:v>
                </c:pt>
                <c:pt idx="10">
                  <c:v>0.90185597633759951</c:v>
                </c:pt>
                <c:pt idx="11">
                  <c:v>0.90185597633759951</c:v>
                </c:pt>
                <c:pt idx="12">
                  <c:v>0.90185597633759951</c:v>
                </c:pt>
                <c:pt idx="13">
                  <c:v>0.90185597633759951</c:v>
                </c:pt>
                <c:pt idx="14">
                  <c:v>0.90185597633759951</c:v>
                </c:pt>
                <c:pt idx="15">
                  <c:v>0.70006937538571801</c:v>
                </c:pt>
                <c:pt idx="16">
                  <c:v>0.70006937538571801</c:v>
                </c:pt>
                <c:pt idx="17">
                  <c:v>0.70006937538571801</c:v>
                </c:pt>
                <c:pt idx="18">
                  <c:v>0.70006937538571801</c:v>
                </c:pt>
                <c:pt idx="19">
                  <c:v>0.70006937538571801</c:v>
                </c:pt>
                <c:pt idx="20">
                  <c:v>0.32320423396628495</c:v>
                </c:pt>
                <c:pt idx="21">
                  <c:v>0.32320423396628495</c:v>
                </c:pt>
                <c:pt idx="22">
                  <c:v>0.32320423396628495</c:v>
                </c:pt>
                <c:pt idx="23">
                  <c:v>0.32320423396628495</c:v>
                </c:pt>
                <c:pt idx="24">
                  <c:v>0.32320423396628495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4C-43B1-AEAA-D5457A41B132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(new)'!$E$135:$E$224</c:f>
              <c:numCache>
                <c:formatCode>0.00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0.9</c:v>
                </c:pt>
                <c:pt idx="9">
                  <c:v>0.9</c:v>
                </c:pt>
                <c:pt idx="10">
                  <c:v>0.8</c:v>
                </c:pt>
                <c:pt idx="11">
                  <c:v>0.9</c:v>
                </c:pt>
                <c:pt idx="12">
                  <c:v>0.9</c:v>
                </c:pt>
                <c:pt idx="13">
                  <c:v>1</c:v>
                </c:pt>
                <c:pt idx="14">
                  <c:v>0.7</c:v>
                </c:pt>
                <c:pt idx="15">
                  <c:v>0.9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0.9</c:v>
                </c:pt>
                <c:pt idx="20">
                  <c:v>0.8</c:v>
                </c:pt>
                <c:pt idx="21">
                  <c:v>0.9</c:v>
                </c:pt>
                <c:pt idx="22">
                  <c:v>1</c:v>
                </c:pt>
                <c:pt idx="23">
                  <c:v>1</c:v>
                </c:pt>
                <c:pt idx="24">
                  <c:v>0.8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0.9</c:v>
                </c:pt>
                <c:pt idx="34">
                  <c:v>0.9</c:v>
                </c:pt>
                <c:pt idx="35">
                  <c:v>1</c:v>
                </c:pt>
                <c:pt idx="36">
                  <c:v>0.8</c:v>
                </c:pt>
                <c:pt idx="37">
                  <c:v>0.8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0.9</c:v>
                </c:pt>
                <c:pt idx="42">
                  <c:v>0.6</c:v>
                </c:pt>
                <c:pt idx="43">
                  <c:v>0.9</c:v>
                </c:pt>
                <c:pt idx="44">
                  <c:v>0.8</c:v>
                </c:pt>
                <c:pt idx="45">
                  <c:v>0.9</c:v>
                </c:pt>
                <c:pt idx="46">
                  <c:v>1</c:v>
                </c:pt>
                <c:pt idx="47">
                  <c:v>0.7</c:v>
                </c:pt>
                <c:pt idx="48">
                  <c:v>0.6</c:v>
                </c:pt>
                <c:pt idx="49">
                  <c:v>0.9</c:v>
                </c:pt>
                <c:pt idx="50">
                  <c:v>0.8</c:v>
                </c:pt>
                <c:pt idx="51">
                  <c:v>0.6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0.8</c:v>
                </c:pt>
                <c:pt idx="61">
                  <c:v>0.9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0.8</c:v>
                </c:pt>
                <c:pt idx="66">
                  <c:v>0.7</c:v>
                </c:pt>
                <c:pt idx="67">
                  <c:v>0.7</c:v>
                </c:pt>
                <c:pt idx="68">
                  <c:v>0.7</c:v>
                </c:pt>
                <c:pt idx="69">
                  <c:v>0.6</c:v>
                </c:pt>
                <c:pt idx="70">
                  <c:v>0.4</c:v>
                </c:pt>
                <c:pt idx="71">
                  <c:v>0.2</c:v>
                </c:pt>
                <c:pt idx="72">
                  <c:v>0.4</c:v>
                </c:pt>
                <c:pt idx="73">
                  <c:v>0.4</c:v>
                </c:pt>
                <c:pt idx="74">
                  <c:v>0.4</c:v>
                </c:pt>
              </c:numCache>
            </c:numRef>
          </c:xVal>
          <c:yVal>
            <c:numRef>
              <c:f>'CA - binary data model (new)'!$J$135:$J$224</c:f>
              <c:numCache>
                <c:formatCode>0.00</c:formatCode>
                <c:ptCount val="90"/>
                <c:pt idx="0">
                  <c:v>0.96179787558573793</c:v>
                </c:pt>
                <c:pt idx="1">
                  <c:v>0.96179787558573793</c:v>
                </c:pt>
                <c:pt idx="2">
                  <c:v>0.96179787558573793</c:v>
                </c:pt>
                <c:pt idx="3">
                  <c:v>0.96179787558573793</c:v>
                </c:pt>
                <c:pt idx="4">
                  <c:v>0.96179787558573793</c:v>
                </c:pt>
                <c:pt idx="5">
                  <c:v>0.9574317533510408</c:v>
                </c:pt>
                <c:pt idx="6">
                  <c:v>0.9574317533510408</c:v>
                </c:pt>
                <c:pt idx="7">
                  <c:v>0.9574317533510408</c:v>
                </c:pt>
                <c:pt idx="8">
                  <c:v>0.9574317533510408</c:v>
                </c:pt>
                <c:pt idx="9">
                  <c:v>0.9574317533510408</c:v>
                </c:pt>
                <c:pt idx="10">
                  <c:v>0.9483646979247109</c:v>
                </c:pt>
                <c:pt idx="11">
                  <c:v>0.9483646979247109</c:v>
                </c:pt>
                <c:pt idx="12">
                  <c:v>0.9483646979247109</c:v>
                </c:pt>
                <c:pt idx="13">
                  <c:v>0.9483646979247109</c:v>
                </c:pt>
                <c:pt idx="14">
                  <c:v>0.9483646979247109</c:v>
                </c:pt>
                <c:pt idx="15">
                  <c:v>0.92784149954694617</c:v>
                </c:pt>
                <c:pt idx="16">
                  <c:v>0.92784149954694617</c:v>
                </c:pt>
                <c:pt idx="17">
                  <c:v>0.92784149954694617</c:v>
                </c:pt>
                <c:pt idx="18">
                  <c:v>0.92784149954694617</c:v>
                </c:pt>
                <c:pt idx="19">
                  <c:v>0.92784149954694617</c:v>
                </c:pt>
                <c:pt idx="20">
                  <c:v>0.87586224465405982</c:v>
                </c:pt>
                <c:pt idx="21">
                  <c:v>0.87586224465405982</c:v>
                </c:pt>
                <c:pt idx="22">
                  <c:v>0.87586224465405982</c:v>
                </c:pt>
                <c:pt idx="23">
                  <c:v>0.87586224465405982</c:v>
                </c:pt>
                <c:pt idx="24">
                  <c:v>0.87586224465405982</c:v>
                </c:pt>
                <c:pt idx="25">
                  <c:v>0.96169526673422867</c:v>
                </c:pt>
                <c:pt idx="26">
                  <c:v>0.96169526673422867</c:v>
                </c:pt>
                <c:pt idx="27">
                  <c:v>0.96169526673422867</c:v>
                </c:pt>
                <c:pt idx="28">
                  <c:v>0.96169526673422867</c:v>
                </c:pt>
                <c:pt idx="29">
                  <c:v>0.96169526673422867</c:v>
                </c:pt>
                <c:pt idx="30">
                  <c:v>0.95589054902535509</c:v>
                </c:pt>
                <c:pt idx="31">
                  <c:v>0.95589054902535509</c:v>
                </c:pt>
                <c:pt idx="32">
                  <c:v>0.95589054902535509</c:v>
                </c:pt>
                <c:pt idx="33">
                  <c:v>0.95589054902535509</c:v>
                </c:pt>
                <c:pt idx="34">
                  <c:v>0.95589054902535509</c:v>
                </c:pt>
                <c:pt idx="35">
                  <c:v>0.94008459808195255</c:v>
                </c:pt>
                <c:pt idx="36">
                  <c:v>0.94008459808195255</c:v>
                </c:pt>
                <c:pt idx="37">
                  <c:v>0.94008459808195255</c:v>
                </c:pt>
                <c:pt idx="38">
                  <c:v>0.94008459808195255</c:v>
                </c:pt>
                <c:pt idx="39">
                  <c:v>0.94008459808195255</c:v>
                </c:pt>
                <c:pt idx="40">
                  <c:v>0.88872607010140992</c:v>
                </c:pt>
                <c:pt idx="41">
                  <c:v>0.88872607010140992</c:v>
                </c:pt>
                <c:pt idx="42">
                  <c:v>0.88872607010140992</c:v>
                </c:pt>
                <c:pt idx="43">
                  <c:v>0.88872607010140992</c:v>
                </c:pt>
                <c:pt idx="44">
                  <c:v>0.88872607010140992</c:v>
                </c:pt>
                <c:pt idx="45">
                  <c:v>0.71725001957864443</c:v>
                </c:pt>
                <c:pt idx="46">
                  <c:v>0.71725001957864443</c:v>
                </c:pt>
                <c:pt idx="47">
                  <c:v>0.71725001957864443</c:v>
                </c:pt>
                <c:pt idx="48">
                  <c:v>0.71725001957864443</c:v>
                </c:pt>
                <c:pt idx="49">
                  <c:v>0.71725001957864443</c:v>
                </c:pt>
                <c:pt idx="50">
                  <c:v>0.96237633445849169</c:v>
                </c:pt>
                <c:pt idx="51">
                  <c:v>0.96237633445849169</c:v>
                </c:pt>
                <c:pt idx="52">
                  <c:v>0.96237633445849169</c:v>
                </c:pt>
                <c:pt idx="53">
                  <c:v>0.96237633445849169</c:v>
                </c:pt>
                <c:pt idx="54">
                  <c:v>0.96237633445849169</c:v>
                </c:pt>
                <c:pt idx="55">
                  <c:v>0.95491594183613304</c:v>
                </c:pt>
                <c:pt idx="56">
                  <c:v>0.95491594183613304</c:v>
                </c:pt>
                <c:pt idx="57">
                  <c:v>0.95491594183613304</c:v>
                </c:pt>
                <c:pt idx="58">
                  <c:v>0.95491594183613304</c:v>
                </c:pt>
                <c:pt idx="59">
                  <c:v>0.95491594183613304</c:v>
                </c:pt>
                <c:pt idx="60">
                  <c:v>0.92653868699253938</c:v>
                </c:pt>
                <c:pt idx="61">
                  <c:v>0.92653868699253938</c:v>
                </c:pt>
                <c:pt idx="62">
                  <c:v>0.92653868699253938</c:v>
                </c:pt>
                <c:pt idx="63">
                  <c:v>0.92653868699253938</c:v>
                </c:pt>
                <c:pt idx="64">
                  <c:v>0.92653868699253938</c:v>
                </c:pt>
                <c:pt idx="65">
                  <c:v>0.81179964510967761</c:v>
                </c:pt>
                <c:pt idx="66">
                  <c:v>0.81179964510967761</c:v>
                </c:pt>
                <c:pt idx="67">
                  <c:v>0.81179964510967761</c:v>
                </c:pt>
                <c:pt idx="68">
                  <c:v>0.81179964510967761</c:v>
                </c:pt>
                <c:pt idx="69">
                  <c:v>0.81179964510967761</c:v>
                </c:pt>
                <c:pt idx="70">
                  <c:v>0.4969008197688457</c:v>
                </c:pt>
                <c:pt idx="71">
                  <c:v>0.4969008197688457</c:v>
                </c:pt>
                <c:pt idx="72">
                  <c:v>0.4969008197688457</c:v>
                </c:pt>
                <c:pt idx="73">
                  <c:v>0.4969008197688457</c:v>
                </c:pt>
                <c:pt idx="74">
                  <c:v>0.4969008197688457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4C-43B1-AEAA-D5457A41B132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binary data model (new)'!$T$2:$T$3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'CA - binary data model (new)'!$T$2:$T$3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44C-43B1-AEAA-D5457A41B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59088"/>
        <c:axId val="1"/>
      </c:scatterChart>
      <c:valAx>
        <c:axId val="1552259088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043842213077887"/>
              <c:y val="0.869594548776102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4.5853111027980786E-2"/>
              <c:y val="0.379875513412718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5225908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0352118372842518"/>
          <c:y val="0.5812553036556054"/>
          <c:w val="0.18122896263440025"/>
          <c:h val="0.1739189097552205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SA to the complete data set</a:t>
            </a:r>
          </a:p>
        </c:rich>
      </c:tx>
      <c:layout>
        <c:manualLayout>
          <c:xMode val="edge"/>
          <c:yMode val="edge"/>
          <c:x val="0.15756834902209976"/>
          <c:y val="3.644773610094981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421026975565431"/>
          <c:y val="0.27335802075712362"/>
          <c:w val="0.66598888853340832"/>
          <c:h val="0.47837653632496635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(new)'!$J$227:$J$316</c:f>
              <c:numCache>
                <c:formatCode>General</c:formatCode>
                <c:ptCount val="90"/>
                <c:pt idx="0">
                  <c:v>2.2937561411630635E-2</c:v>
                </c:pt>
                <c:pt idx="1">
                  <c:v>2.2937561411630635E-2</c:v>
                </c:pt>
                <c:pt idx="2">
                  <c:v>2.2937561411630635E-2</c:v>
                </c:pt>
                <c:pt idx="3">
                  <c:v>2.2937561411630635E-2</c:v>
                </c:pt>
                <c:pt idx="4">
                  <c:v>2.2937561411630635E-2</c:v>
                </c:pt>
                <c:pt idx="5">
                  <c:v>4.5875122823261269E-2</c:v>
                </c:pt>
                <c:pt idx="6">
                  <c:v>4.5875122823261269E-2</c:v>
                </c:pt>
                <c:pt idx="7">
                  <c:v>4.5875122823261269E-2</c:v>
                </c:pt>
                <c:pt idx="8">
                  <c:v>4.5875122823261269E-2</c:v>
                </c:pt>
                <c:pt idx="9">
                  <c:v>4.5875122823261269E-2</c:v>
                </c:pt>
                <c:pt idx="10">
                  <c:v>9.1750245646522538E-2</c:v>
                </c:pt>
                <c:pt idx="11">
                  <c:v>9.1750245646522538E-2</c:v>
                </c:pt>
                <c:pt idx="12">
                  <c:v>9.1750245646522538E-2</c:v>
                </c:pt>
                <c:pt idx="13">
                  <c:v>9.1750245646522538E-2</c:v>
                </c:pt>
                <c:pt idx="14">
                  <c:v>9.1750245646522538E-2</c:v>
                </c:pt>
                <c:pt idx="15">
                  <c:v>0.18350049129304508</c:v>
                </c:pt>
                <c:pt idx="16">
                  <c:v>0.18350049129304508</c:v>
                </c:pt>
                <c:pt idx="17">
                  <c:v>0.18350049129304508</c:v>
                </c:pt>
                <c:pt idx="18">
                  <c:v>0.18350049129304508</c:v>
                </c:pt>
                <c:pt idx="19">
                  <c:v>0.18350049129304508</c:v>
                </c:pt>
                <c:pt idx="20">
                  <c:v>0.36700098258609015</c:v>
                </c:pt>
                <c:pt idx="21">
                  <c:v>0.36700098258609015</c:v>
                </c:pt>
                <c:pt idx="22">
                  <c:v>0.36700098258609015</c:v>
                </c:pt>
                <c:pt idx="23">
                  <c:v>0.36700098258609015</c:v>
                </c:pt>
                <c:pt idx="24">
                  <c:v>0.36700098258609015</c:v>
                </c:pt>
                <c:pt idx="25">
                  <c:v>4.3375122823261274E-2</c:v>
                </c:pt>
                <c:pt idx="26">
                  <c:v>4.3375122823261274E-2</c:v>
                </c:pt>
                <c:pt idx="27">
                  <c:v>4.3375122823261274E-2</c:v>
                </c:pt>
                <c:pt idx="28">
                  <c:v>4.3375122823261274E-2</c:v>
                </c:pt>
                <c:pt idx="29">
                  <c:v>4.3375122823261274E-2</c:v>
                </c:pt>
                <c:pt idx="30">
                  <c:v>8.6750245646522547E-2</c:v>
                </c:pt>
                <c:pt idx="31">
                  <c:v>8.6750245646522547E-2</c:v>
                </c:pt>
                <c:pt idx="32">
                  <c:v>8.6750245646522547E-2</c:v>
                </c:pt>
                <c:pt idx="33">
                  <c:v>8.6750245646522547E-2</c:v>
                </c:pt>
                <c:pt idx="34">
                  <c:v>8.6750245646522547E-2</c:v>
                </c:pt>
                <c:pt idx="35">
                  <c:v>0.17350049129304509</c:v>
                </c:pt>
                <c:pt idx="36">
                  <c:v>0.17350049129304509</c:v>
                </c:pt>
                <c:pt idx="37">
                  <c:v>0.17350049129304509</c:v>
                </c:pt>
                <c:pt idx="38">
                  <c:v>0.17350049129304509</c:v>
                </c:pt>
                <c:pt idx="39">
                  <c:v>0.17350049129304509</c:v>
                </c:pt>
                <c:pt idx="40">
                  <c:v>0.34700098258609019</c:v>
                </c:pt>
                <c:pt idx="41">
                  <c:v>0.34700098258609019</c:v>
                </c:pt>
                <c:pt idx="42">
                  <c:v>0.34700098258609019</c:v>
                </c:pt>
                <c:pt idx="43">
                  <c:v>0.34700098258609019</c:v>
                </c:pt>
                <c:pt idx="44">
                  <c:v>0.34700098258609019</c:v>
                </c:pt>
                <c:pt idx="45">
                  <c:v>0.69400196517218038</c:v>
                </c:pt>
                <c:pt idx="46">
                  <c:v>0.69400196517218038</c:v>
                </c:pt>
                <c:pt idx="47">
                  <c:v>0.69400196517218038</c:v>
                </c:pt>
                <c:pt idx="48">
                  <c:v>0.69400196517218038</c:v>
                </c:pt>
                <c:pt idx="49">
                  <c:v>0.69400196517218038</c:v>
                </c:pt>
                <c:pt idx="50">
                  <c:v>6.381268423489192E-2</c:v>
                </c:pt>
                <c:pt idx="51">
                  <c:v>6.381268423489192E-2</c:v>
                </c:pt>
                <c:pt idx="52">
                  <c:v>6.381268423489192E-2</c:v>
                </c:pt>
                <c:pt idx="53">
                  <c:v>6.381268423489192E-2</c:v>
                </c:pt>
                <c:pt idx="54">
                  <c:v>6.381268423489192E-2</c:v>
                </c:pt>
                <c:pt idx="55">
                  <c:v>0.12762536846978384</c:v>
                </c:pt>
                <c:pt idx="56">
                  <c:v>0.12762536846978384</c:v>
                </c:pt>
                <c:pt idx="57">
                  <c:v>0.12762536846978384</c:v>
                </c:pt>
                <c:pt idx="58">
                  <c:v>0.12762536846978384</c:v>
                </c:pt>
                <c:pt idx="59">
                  <c:v>0.12762536846978384</c:v>
                </c:pt>
                <c:pt idx="60">
                  <c:v>0.25525073693956768</c:v>
                </c:pt>
                <c:pt idx="61">
                  <c:v>0.25525073693956768</c:v>
                </c:pt>
                <c:pt idx="62">
                  <c:v>0.25525073693956768</c:v>
                </c:pt>
                <c:pt idx="63">
                  <c:v>0.25525073693956768</c:v>
                </c:pt>
                <c:pt idx="64">
                  <c:v>0.25525073693956768</c:v>
                </c:pt>
                <c:pt idx="65">
                  <c:v>0.51050147387913536</c:v>
                </c:pt>
                <c:pt idx="66">
                  <c:v>0.51050147387913536</c:v>
                </c:pt>
                <c:pt idx="67">
                  <c:v>0.51050147387913536</c:v>
                </c:pt>
                <c:pt idx="68">
                  <c:v>0.51050147387913536</c:v>
                </c:pt>
                <c:pt idx="69">
                  <c:v>0.51050147387913536</c:v>
                </c:pt>
                <c:pt idx="70">
                  <c:v>1.0210029477582707</c:v>
                </c:pt>
                <c:pt idx="71">
                  <c:v>1.0210029477582707</c:v>
                </c:pt>
                <c:pt idx="72">
                  <c:v>1.0210029477582707</c:v>
                </c:pt>
                <c:pt idx="73">
                  <c:v>1.0210029477582707</c:v>
                </c:pt>
                <c:pt idx="74">
                  <c:v>1.0210029477582707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'CA - binary data model (new)'!$K$227:$K$316</c:f>
              <c:numCache>
                <c:formatCode>0.00</c:formatCode>
                <c:ptCount val="90"/>
                <c:pt idx="0">
                  <c:v>3.8202124414262073E-2</c:v>
                </c:pt>
                <c:pt idx="1">
                  <c:v>3.8202124414262073E-2</c:v>
                </c:pt>
                <c:pt idx="2">
                  <c:v>3.8202124414262073E-2</c:v>
                </c:pt>
                <c:pt idx="3">
                  <c:v>-6.1797875585737905E-2</c:v>
                </c:pt>
                <c:pt idx="4">
                  <c:v>3.8202124414262073E-2</c:v>
                </c:pt>
                <c:pt idx="5">
                  <c:v>4.2568246648959196E-2</c:v>
                </c:pt>
                <c:pt idx="6">
                  <c:v>4.2568246648959196E-2</c:v>
                </c:pt>
                <c:pt idx="7">
                  <c:v>4.2568246648959196E-2</c:v>
                </c:pt>
                <c:pt idx="8">
                  <c:v>-5.7431753351040782E-2</c:v>
                </c:pt>
                <c:pt idx="9">
                  <c:v>-5.7431753351040782E-2</c:v>
                </c:pt>
                <c:pt idx="10">
                  <c:v>-0.14836469792471085</c:v>
                </c:pt>
                <c:pt idx="11">
                  <c:v>-4.8364697924710875E-2</c:v>
                </c:pt>
                <c:pt idx="12">
                  <c:v>-4.8364697924710875E-2</c:v>
                </c:pt>
                <c:pt idx="13">
                  <c:v>5.1635302075289102E-2</c:v>
                </c:pt>
                <c:pt idx="14">
                  <c:v>-0.24836469792471094</c:v>
                </c:pt>
                <c:pt idx="15">
                  <c:v>-2.7841499546946147E-2</c:v>
                </c:pt>
                <c:pt idx="16">
                  <c:v>7.2158500453053831E-2</c:v>
                </c:pt>
                <c:pt idx="17">
                  <c:v>7.2158500453053831E-2</c:v>
                </c:pt>
                <c:pt idx="18">
                  <c:v>7.2158500453053831E-2</c:v>
                </c:pt>
                <c:pt idx="19">
                  <c:v>-2.7841499546946147E-2</c:v>
                </c:pt>
                <c:pt idx="20">
                  <c:v>-7.5862244654059774E-2</c:v>
                </c:pt>
                <c:pt idx="21">
                  <c:v>2.4137755345940204E-2</c:v>
                </c:pt>
                <c:pt idx="22">
                  <c:v>0.12413775534594018</c:v>
                </c:pt>
                <c:pt idx="23">
                  <c:v>0.12413775534594018</c:v>
                </c:pt>
                <c:pt idx="24">
                  <c:v>-7.5862244654059774E-2</c:v>
                </c:pt>
                <c:pt idx="25">
                  <c:v>3.8304733265771329E-2</c:v>
                </c:pt>
                <c:pt idx="26">
                  <c:v>3.8304733265771329E-2</c:v>
                </c:pt>
                <c:pt idx="27">
                  <c:v>3.8304733265771329E-2</c:v>
                </c:pt>
                <c:pt idx="28">
                  <c:v>3.8304733265771329E-2</c:v>
                </c:pt>
                <c:pt idx="29">
                  <c:v>3.8304733265771329E-2</c:v>
                </c:pt>
                <c:pt idx="30">
                  <c:v>4.4109450974644915E-2</c:v>
                </c:pt>
                <c:pt idx="31">
                  <c:v>4.4109450974644915E-2</c:v>
                </c:pt>
                <c:pt idx="32">
                  <c:v>4.4109450974644915E-2</c:v>
                </c:pt>
                <c:pt idx="33">
                  <c:v>-5.5890549025355063E-2</c:v>
                </c:pt>
                <c:pt idx="34">
                  <c:v>-5.5890549025355063E-2</c:v>
                </c:pt>
                <c:pt idx="35">
                  <c:v>5.9915401918047451E-2</c:v>
                </c:pt>
                <c:pt idx="36">
                  <c:v>-0.1400845980819525</c:v>
                </c:pt>
                <c:pt idx="37">
                  <c:v>-0.1400845980819525</c:v>
                </c:pt>
                <c:pt idx="38">
                  <c:v>5.9915401918047451E-2</c:v>
                </c:pt>
                <c:pt idx="39">
                  <c:v>5.9915401918047451E-2</c:v>
                </c:pt>
                <c:pt idx="40">
                  <c:v>0.11127392989859008</c:v>
                </c:pt>
                <c:pt idx="41">
                  <c:v>1.1273929898590107E-2</c:v>
                </c:pt>
                <c:pt idx="42">
                  <c:v>-0.28872607010140994</c:v>
                </c:pt>
                <c:pt idx="43">
                  <c:v>1.1273929898590107E-2</c:v>
                </c:pt>
                <c:pt idx="44">
                  <c:v>-8.8726070101409871E-2</c:v>
                </c:pt>
                <c:pt idx="45">
                  <c:v>0.1827499804213556</c:v>
                </c:pt>
                <c:pt idx="46">
                  <c:v>0.28274998042135557</c:v>
                </c:pt>
                <c:pt idx="47">
                  <c:v>-1.7250019578644471E-2</c:v>
                </c:pt>
                <c:pt idx="48">
                  <c:v>-0.11725001957864445</c:v>
                </c:pt>
                <c:pt idx="49">
                  <c:v>0.1827499804213556</c:v>
                </c:pt>
                <c:pt idx="50">
                  <c:v>-0.16237633445849164</c:v>
                </c:pt>
                <c:pt idx="51">
                  <c:v>-0.36237633445849171</c:v>
                </c:pt>
                <c:pt idx="52">
                  <c:v>3.7623665541508311E-2</c:v>
                </c:pt>
                <c:pt idx="53">
                  <c:v>3.7623665541508311E-2</c:v>
                </c:pt>
                <c:pt idx="54">
                  <c:v>3.7623665541508311E-2</c:v>
                </c:pt>
                <c:pt idx="55">
                  <c:v>4.5084058163866958E-2</c:v>
                </c:pt>
                <c:pt idx="56">
                  <c:v>4.5084058163866958E-2</c:v>
                </c:pt>
                <c:pt idx="57">
                  <c:v>4.5084058163866958E-2</c:v>
                </c:pt>
                <c:pt idx="58">
                  <c:v>4.5084058163866958E-2</c:v>
                </c:pt>
                <c:pt idx="59">
                  <c:v>4.5084058163866958E-2</c:v>
                </c:pt>
                <c:pt idx="60">
                  <c:v>-0.12653868699253934</c:v>
                </c:pt>
                <c:pt idx="61">
                  <c:v>-2.6538686992539362E-2</c:v>
                </c:pt>
                <c:pt idx="62">
                  <c:v>7.3461313007460616E-2</c:v>
                </c:pt>
                <c:pt idx="63">
                  <c:v>7.3461313007460616E-2</c:v>
                </c:pt>
                <c:pt idx="64">
                  <c:v>7.3461313007460616E-2</c:v>
                </c:pt>
                <c:pt idx="65">
                  <c:v>-1.179964510967757E-2</c:v>
                </c:pt>
                <c:pt idx="66">
                  <c:v>-0.11179964510967766</c:v>
                </c:pt>
                <c:pt idx="67">
                  <c:v>-0.11179964510967766</c:v>
                </c:pt>
                <c:pt idx="68">
                  <c:v>-0.11179964510967766</c:v>
                </c:pt>
                <c:pt idx="69">
                  <c:v>-0.21179964510967764</c:v>
                </c:pt>
                <c:pt idx="70">
                  <c:v>-9.6900819768845681E-2</c:v>
                </c:pt>
                <c:pt idx="71">
                  <c:v>-0.29690081976884569</c:v>
                </c:pt>
                <c:pt idx="72">
                  <c:v>-9.6900819768845681E-2</c:v>
                </c:pt>
                <c:pt idx="73">
                  <c:v>-9.6900819768845681E-2</c:v>
                </c:pt>
                <c:pt idx="74">
                  <c:v>-9.6900819768845681E-2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23-4504-A568-8C7EFADB4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62064"/>
        <c:axId val="1"/>
      </c:scatterChart>
      <c:valAx>
        <c:axId val="1552262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47900778102718328"/>
              <c:y val="0.867911715903867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4.6220049046482602E-2"/>
              <c:y val="0.4009250971104479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5226206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Ratio Dependent Deviation
</a:t>
            </a:r>
          </a:p>
        </c:rich>
      </c:tx>
      <c:layout>
        <c:manualLayout>
          <c:xMode val="edge"/>
          <c:yMode val="edge"/>
          <c:x val="0.16052561249398153"/>
          <c:y val="2.8847104024865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994209357246004"/>
          <c:y val="0.15144729613054442"/>
          <c:w val="0.65294877514443839"/>
          <c:h val="0.59136563250974483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(new)'!$E$45:$E$89</c:f>
              <c:numCache>
                <c:formatCode>0.00</c:formatCode>
                <c:ptCount val="45"/>
                <c:pt idx="0">
                  <c:v>1</c:v>
                </c:pt>
                <c:pt idx="1">
                  <c:v>0.8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0.9</c:v>
                </c:pt>
                <c:pt idx="10">
                  <c:v>1</c:v>
                </c:pt>
                <c:pt idx="11">
                  <c:v>0.9</c:v>
                </c:pt>
                <c:pt idx="12">
                  <c:v>0.8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0.9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0.9</c:v>
                </c:pt>
                <c:pt idx="23">
                  <c:v>0.8</c:v>
                </c:pt>
                <c:pt idx="24">
                  <c:v>0.8</c:v>
                </c:pt>
              </c:numCache>
            </c:numRef>
          </c:xVal>
          <c:yVal>
            <c:numRef>
              <c:f>'CA - binary data model (new)'!$M$45:$M$89</c:f>
              <c:numCache>
                <c:formatCode>0.00</c:formatCode>
                <c:ptCount val="45"/>
                <c:pt idx="0">
                  <c:v>0.95798444505323621</c:v>
                </c:pt>
                <c:pt idx="1">
                  <c:v>0.95798444505323621</c:v>
                </c:pt>
                <c:pt idx="2">
                  <c:v>0.95798444505323621</c:v>
                </c:pt>
                <c:pt idx="3">
                  <c:v>0.95798444505323621</c:v>
                </c:pt>
                <c:pt idx="4">
                  <c:v>0.95798444505323621</c:v>
                </c:pt>
                <c:pt idx="5">
                  <c:v>0.95205042003521922</c:v>
                </c:pt>
                <c:pt idx="6">
                  <c:v>0.95205042003521922</c:v>
                </c:pt>
                <c:pt idx="7">
                  <c:v>0.95205042003521922</c:v>
                </c:pt>
                <c:pt idx="8">
                  <c:v>0.95205042003521922</c:v>
                </c:pt>
                <c:pt idx="9">
                  <c:v>0.95205042003521922</c:v>
                </c:pt>
                <c:pt idx="10">
                  <c:v>0.94194837261102626</c:v>
                </c:pt>
                <c:pt idx="11">
                  <c:v>0.94194837261102626</c:v>
                </c:pt>
                <c:pt idx="12">
                  <c:v>0.94194837261102626</c:v>
                </c:pt>
                <c:pt idx="13">
                  <c:v>0.94194837261102626</c:v>
                </c:pt>
                <c:pt idx="14">
                  <c:v>0.94194837261102626</c:v>
                </c:pt>
                <c:pt idx="15">
                  <c:v>0.92495788869701412</c:v>
                </c:pt>
                <c:pt idx="16">
                  <c:v>0.92495788869701412</c:v>
                </c:pt>
                <c:pt idx="17">
                  <c:v>0.92495788869701412</c:v>
                </c:pt>
                <c:pt idx="18">
                  <c:v>0.92495788869701412</c:v>
                </c:pt>
                <c:pt idx="19">
                  <c:v>0.92495788869701412</c:v>
                </c:pt>
                <c:pt idx="20">
                  <c:v>0.8969561230051325</c:v>
                </c:pt>
                <c:pt idx="21">
                  <c:v>0.8969561230051325</c:v>
                </c:pt>
                <c:pt idx="22">
                  <c:v>0.8969561230051325</c:v>
                </c:pt>
                <c:pt idx="23">
                  <c:v>0.8969561230051325</c:v>
                </c:pt>
                <c:pt idx="24">
                  <c:v>0.8969561230051325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71-4209-A795-8099FFFC465B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(new)'!$E$90:$E$134</c:f>
              <c:numCache>
                <c:formatCode>0.00</c:formatCode>
                <c:ptCount val="4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0.8</c:v>
                </c:pt>
                <c:pt idx="8">
                  <c:v>1</c:v>
                </c:pt>
                <c:pt idx="9">
                  <c:v>1</c:v>
                </c:pt>
                <c:pt idx="10">
                  <c:v>0.8</c:v>
                </c:pt>
                <c:pt idx="11">
                  <c:v>1</c:v>
                </c:pt>
                <c:pt idx="12">
                  <c:v>1</c:v>
                </c:pt>
                <c:pt idx="13">
                  <c:v>0.9</c:v>
                </c:pt>
                <c:pt idx="14">
                  <c:v>0.9</c:v>
                </c:pt>
                <c:pt idx="15">
                  <c:v>0.8</c:v>
                </c:pt>
                <c:pt idx="16">
                  <c:v>0.7</c:v>
                </c:pt>
                <c:pt idx="17">
                  <c:v>0.9</c:v>
                </c:pt>
                <c:pt idx="18">
                  <c:v>0.8</c:v>
                </c:pt>
                <c:pt idx="19">
                  <c:v>0.7</c:v>
                </c:pt>
                <c:pt idx="20">
                  <c:v>0.1</c:v>
                </c:pt>
                <c:pt idx="21">
                  <c:v>0.3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</c:numCache>
            </c:numRef>
          </c:xVal>
          <c:yVal>
            <c:numRef>
              <c:f>'CA - binary data model (new)'!$M$90:$M$134</c:f>
              <c:numCache>
                <c:formatCode>0.00</c:formatCode>
                <c:ptCount val="45"/>
                <c:pt idx="0">
                  <c:v>0.96445907909300166</c:v>
                </c:pt>
                <c:pt idx="1">
                  <c:v>0.96445907909300166</c:v>
                </c:pt>
                <c:pt idx="2">
                  <c:v>0.96445907909300166</c:v>
                </c:pt>
                <c:pt idx="3">
                  <c:v>0.96445907909300166</c:v>
                </c:pt>
                <c:pt idx="4">
                  <c:v>0.96445907909300166</c:v>
                </c:pt>
                <c:pt idx="5">
                  <c:v>0.95631886691927992</c:v>
                </c:pt>
                <c:pt idx="6">
                  <c:v>0.95631886691927992</c:v>
                </c:pt>
                <c:pt idx="7">
                  <c:v>0.95631886691927992</c:v>
                </c:pt>
                <c:pt idx="8">
                  <c:v>0.95631886691927992</c:v>
                </c:pt>
                <c:pt idx="9">
                  <c:v>0.95631886691927992</c:v>
                </c:pt>
                <c:pt idx="10">
                  <c:v>0.91259150675835354</c:v>
                </c:pt>
                <c:pt idx="11">
                  <c:v>0.91259150675835354</c:v>
                </c:pt>
                <c:pt idx="12">
                  <c:v>0.91259150675835354</c:v>
                </c:pt>
                <c:pt idx="13">
                  <c:v>0.91259150675835354</c:v>
                </c:pt>
                <c:pt idx="14">
                  <c:v>0.91259150675835354</c:v>
                </c:pt>
                <c:pt idx="15">
                  <c:v>0.72493421366699573</c:v>
                </c:pt>
                <c:pt idx="16">
                  <c:v>0.72493421366699573</c:v>
                </c:pt>
                <c:pt idx="17">
                  <c:v>0.72493421366699573</c:v>
                </c:pt>
                <c:pt idx="18">
                  <c:v>0.72493421366699573</c:v>
                </c:pt>
                <c:pt idx="19">
                  <c:v>0.72493421366699573</c:v>
                </c:pt>
                <c:pt idx="20">
                  <c:v>0.33779787257047339</c:v>
                </c:pt>
                <c:pt idx="21">
                  <c:v>0.33779787257047339</c:v>
                </c:pt>
                <c:pt idx="22">
                  <c:v>0.33779787257047339</c:v>
                </c:pt>
                <c:pt idx="23">
                  <c:v>0.33779787257047339</c:v>
                </c:pt>
                <c:pt idx="24">
                  <c:v>0.33779787257047339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71-4209-A795-8099FFFC465B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(new)'!$E$135:$E$224</c:f>
              <c:numCache>
                <c:formatCode>0.00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0.9</c:v>
                </c:pt>
                <c:pt idx="9">
                  <c:v>0.9</c:v>
                </c:pt>
                <c:pt idx="10">
                  <c:v>0.8</c:v>
                </c:pt>
                <c:pt idx="11">
                  <c:v>0.9</c:v>
                </c:pt>
                <c:pt idx="12">
                  <c:v>0.9</c:v>
                </c:pt>
                <c:pt idx="13">
                  <c:v>1</c:v>
                </c:pt>
                <c:pt idx="14">
                  <c:v>0.7</c:v>
                </c:pt>
                <c:pt idx="15">
                  <c:v>0.9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0.9</c:v>
                </c:pt>
                <c:pt idx="20">
                  <c:v>0.8</c:v>
                </c:pt>
                <c:pt idx="21">
                  <c:v>0.9</c:v>
                </c:pt>
                <c:pt idx="22">
                  <c:v>1</c:v>
                </c:pt>
                <c:pt idx="23">
                  <c:v>1</c:v>
                </c:pt>
                <c:pt idx="24">
                  <c:v>0.8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0.9</c:v>
                </c:pt>
                <c:pt idx="34">
                  <c:v>0.9</c:v>
                </c:pt>
                <c:pt idx="35">
                  <c:v>1</c:v>
                </c:pt>
                <c:pt idx="36">
                  <c:v>0.8</c:v>
                </c:pt>
                <c:pt idx="37">
                  <c:v>0.8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0.9</c:v>
                </c:pt>
                <c:pt idx="42">
                  <c:v>0.6</c:v>
                </c:pt>
                <c:pt idx="43">
                  <c:v>0.9</c:v>
                </c:pt>
                <c:pt idx="44">
                  <c:v>0.8</c:v>
                </c:pt>
                <c:pt idx="45">
                  <c:v>0.9</c:v>
                </c:pt>
                <c:pt idx="46">
                  <c:v>1</c:v>
                </c:pt>
                <c:pt idx="47">
                  <c:v>0.7</c:v>
                </c:pt>
                <c:pt idx="48">
                  <c:v>0.6</c:v>
                </c:pt>
                <c:pt idx="49">
                  <c:v>0.9</c:v>
                </c:pt>
                <c:pt idx="50">
                  <c:v>0.8</c:v>
                </c:pt>
                <c:pt idx="51">
                  <c:v>0.6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0.8</c:v>
                </c:pt>
                <c:pt idx="61">
                  <c:v>0.9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0.8</c:v>
                </c:pt>
                <c:pt idx="66">
                  <c:v>0.7</c:v>
                </c:pt>
                <c:pt idx="67">
                  <c:v>0.7</c:v>
                </c:pt>
                <c:pt idx="68">
                  <c:v>0.7</c:v>
                </c:pt>
                <c:pt idx="69">
                  <c:v>0.6</c:v>
                </c:pt>
                <c:pt idx="70">
                  <c:v>0.4</c:v>
                </c:pt>
                <c:pt idx="71">
                  <c:v>0.2</c:v>
                </c:pt>
                <c:pt idx="72">
                  <c:v>0.4</c:v>
                </c:pt>
                <c:pt idx="73">
                  <c:v>0.4</c:v>
                </c:pt>
                <c:pt idx="74">
                  <c:v>0.4</c:v>
                </c:pt>
              </c:numCache>
            </c:numRef>
          </c:xVal>
          <c:yVal>
            <c:numRef>
              <c:f>'CA - binary data model (new)'!$M$135:$M$224</c:f>
              <c:numCache>
                <c:formatCode>0.00</c:formatCode>
                <c:ptCount val="90"/>
                <c:pt idx="0">
                  <c:v>0.96204493114558787</c:v>
                </c:pt>
                <c:pt idx="1">
                  <c:v>0.96204493114558787</c:v>
                </c:pt>
                <c:pt idx="2">
                  <c:v>0.96204493114558787</c:v>
                </c:pt>
                <c:pt idx="3">
                  <c:v>0.96204493114558787</c:v>
                </c:pt>
                <c:pt idx="4">
                  <c:v>0.96204493114558787</c:v>
                </c:pt>
                <c:pt idx="5">
                  <c:v>0.95867341595788691</c:v>
                </c:pt>
                <c:pt idx="6">
                  <c:v>0.95867341595788691</c:v>
                </c:pt>
                <c:pt idx="7">
                  <c:v>0.95867341595788691</c:v>
                </c:pt>
                <c:pt idx="8">
                  <c:v>0.95867341595788691</c:v>
                </c:pt>
                <c:pt idx="9">
                  <c:v>0.95867341595788691</c:v>
                </c:pt>
                <c:pt idx="10">
                  <c:v>0.95220297396031484</c:v>
                </c:pt>
                <c:pt idx="11">
                  <c:v>0.95220297396031484</c:v>
                </c:pt>
                <c:pt idx="12">
                  <c:v>0.95220297396031484</c:v>
                </c:pt>
                <c:pt idx="13">
                  <c:v>0.95220297396031484</c:v>
                </c:pt>
                <c:pt idx="14">
                  <c:v>0.95220297396031484</c:v>
                </c:pt>
                <c:pt idx="15">
                  <c:v>0.93899648463095842</c:v>
                </c:pt>
                <c:pt idx="16">
                  <c:v>0.93899648463095842</c:v>
                </c:pt>
                <c:pt idx="17">
                  <c:v>0.93899648463095842</c:v>
                </c:pt>
                <c:pt idx="18">
                  <c:v>0.93899648463095842</c:v>
                </c:pt>
                <c:pt idx="19">
                  <c:v>0.93899648463095842</c:v>
                </c:pt>
                <c:pt idx="20">
                  <c:v>0.90938336162822275</c:v>
                </c:pt>
                <c:pt idx="21">
                  <c:v>0.90938336162822275</c:v>
                </c:pt>
                <c:pt idx="22">
                  <c:v>0.90938336162822275</c:v>
                </c:pt>
                <c:pt idx="23">
                  <c:v>0.90938336162822275</c:v>
                </c:pt>
                <c:pt idx="24">
                  <c:v>0.90938336162822275</c:v>
                </c:pt>
                <c:pt idx="25">
                  <c:v>0.95980738736900206</c:v>
                </c:pt>
                <c:pt idx="26">
                  <c:v>0.95980738736900206</c:v>
                </c:pt>
                <c:pt idx="27">
                  <c:v>0.95980738736900206</c:v>
                </c:pt>
                <c:pt idx="28">
                  <c:v>0.95980738736900206</c:v>
                </c:pt>
                <c:pt idx="29">
                  <c:v>0.95980738736900206</c:v>
                </c:pt>
                <c:pt idx="30">
                  <c:v>0.95290764562192543</c:v>
                </c:pt>
                <c:pt idx="31">
                  <c:v>0.95290764562192543</c:v>
                </c:pt>
                <c:pt idx="32">
                  <c:v>0.95290764562192543</c:v>
                </c:pt>
                <c:pt idx="33">
                  <c:v>0.95290764562192543</c:v>
                </c:pt>
                <c:pt idx="34">
                  <c:v>0.95290764562192543</c:v>
                </c:pt>
                <c:pt idx="35">
                  <c:v>0.93492316158127253</c:v>
                </c:pt>
                <c:pt idx="36">
                  <c:v>0.93492316158127253</c:v>
                </c:pt>
                <c:pt idx="37">
                  <c:v>0.93492316158127253</c:v>
                </c:pt>
                <c:pt idx="38">
                  <c:v>0.93492316158127253</c:v>
                </c:pt>
                <c:pt idx="39">
                  <c:v>0.93492316158127253</c:v>
                </c:pt>
                <c:pt idx="40">
                  <c:v>0.87782863309837755</c:v>
                </c:pt>
                <c:pt idx="41">
                  <c:v>0.87782863309837755</c:v>
                </c:pt>
                <c:pt idx="42">
                  <c:v>0.87782863309837755</c:v>
                </c:pt>
                <c:pt idx="43">
                  <c:v>0.87782863309837755</c:v>
                </c:pt>
                <c:pt idx="44">
                  <c:v>0.87782863309837755</c:v>
                </c:pt>
                <c:pt idx="45">
                  <c:v>0.6874320124762221</c:v>
                </c:pt>
                <c:pt idx="46">
                  <c:v>0.6874320124762221</c:v>
                </c:pt>
                <c:pt idx="47">
                  <c:v>0.6874320124762221</c:v>
                </c:pt>
                <c:pt idx="48">
                  <c:v>0.6874320124762221</c:v>
                </c:pt>
                <c:pt idx="49">
                  <c:v>0.6874320124762221</c:v>
                </c:pt>
                <c:pt idx="50">
                  <c:v>0.96120187299742454</c:v>
                </c:pt>
                <c:pt idx="51">
                  <c:v>0.96120187299742454</c:v>
                </c:pt>
                <c:pt idx="52">
                  <c:v>0.96120187299742454</c:v>
                </c:pt>
                <c:pt idx="53">
                  <c:v>0.96120187299742454</c:v>
                </c:pt>
                <c:pt idx="54">
                  <c:v>0.96120187299742454</c:v>
                </c:pt>
                <c:pt idx="55">
                  <c:v>0.95344875231251369</c:v>
                </c:pt>
                <c:pt idx="56">
                  <c:v>0.95344875231251369</c:v>
                </c:pt>
                <c:pt idx="57">
                  <c:v>0.95344875231251369</c:v>
                </c:pt>
                <c:pt idx="58">
                  <c:v>0.95344875231251369</c:v>
                </c:pt>
                <c:pt idx="59">
                  <c:v>0.95344875231251369</c:v>
                </c:pt>
                <c:pt idx="60">
                  <c:v>0.92496239200320662</c:v>
                </c:pt>
                <c:pt idx="61">
                  <c:v>0.92496239200320662</c:v>
                </c:pt>
                <c:pt idx="62">
                  <c:v>0.92496239200320662</c:v>
                </c:pt>
                <c:pt idx="63">
                  <c:v>0.92496239200320662</c:v>
                </c:pt>
                <c:pt idx="64">
                  <c:v>0.92496239200320662</c:v>
                </c:pt>
                <c:pt idx="65">
                  <c:v>0.80685691887523148</c:v>
                </c:pt>
                <c:pt idx="66">
                  <c:v>0.80685691887523148</c:v>
                </c:pt>
                <c:pt idx="67">
                  <c:v>0.80685691887523148</c:v>
                </c:pt>
                <c:pt idx="68">
                  <c:v>0.80685691887523148</c:v>
                </c:pt>
                <c:pt idx="69">
                  <c:v>0.80685691887523148</c:v>
                </c:pt>
                <c:pt idx="70">
                  <c:v>0.47598405078032546</c:v>
                </c:pt>
                <c:pt idx="71">
                  <c:v>0.47598405078032546</c:v>
                </c:pt>
                <c:pt idx="72">
                  <c:v>0.47598405078032546</c:v>
                </c:pt>
                <c:pt idx="73">
                  <c:v>0.47598405078032546</c:v>
                </c:pt>
                <c:pt idx="74">
                  <c:v>0.47598405078032546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71-4209-A795-8099FFFC465B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binary data model (new)'!$T$2:$T$3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'CA - binary data model (new)'!$T$2:$T$3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71-4209-A795-8099FFFC4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47680"/>
        <c:axId val="1"/>
      </c:scatterChart>
      <c:valAx>
        <c:axId val="155224768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0110022278526667"/>
              <c:y val="0.86541312074596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4.1216035640346607E-2"/>
              <c:y val="0.3726084269878473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5224768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047973275036101"/>
          <c:y val="0.56251852848487927"/>
          <c:w val="0.1800489977973036"/>
          <c:h val="0.182698325490815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Level Dependent Deviation
</a:t>
            </a:r>
          </a:p>
        </c:rich>
      </c:tx>
      <c:layout>
        <c:manualLayout>
          <c:xMode val="edge"/>
          <c:yMode val="edge"/>
          <c:x val="0.196588003581114"/>
          <c:y val="2.83514676498481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581943871404907"/>
          <c:y val="0.15206696284918533"/>
          <c:w val="0.67523705577860893"/>
          <c:h val="0.59280341449682417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(new)'!$E$45:$E$89</c:f>
              <c:numCache>
                <c:formatCode>0.00</c:formatCode>
                <c:ptCount val="45"/>
                <c:pt idx="0">
                  <c:v>1</c:v>
                </c:pt>
                <c:pt idx="1">
                  <c:v>0.8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0.9</c:v>
                </c:pt>
                <c:pt idx="10">
                  <c:v>1</c:v>
                </c:pt>
                <c:pt idx="11">
                  <c:v>0.9</c:v>
                </c:pt>
                <c:pt idx="12">
                  <c:v>0.8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0.9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0.9</c:v>
                </c:pt>
                <c:pt idx="23">
                  <c:v>0.8</c:v>
                </c:pt>
                <c:pt idx="24">
                  <c:v>0.8</c:v>
                </c:pt>
              </c:numCache>
            </c:numRef>
          </c:xVal>
          <c:yVal>
            <c:numRef>
              <c:f>'CA - binary data model (new)'!$P$45:$P$89</c:f>
              <c:numCache>
                <c:formatCode>0.00</c:formatCode>
                <c:ptCount val="45"/>
                <c:pt idx="0">
                  <c:v>0.95964144132033757</c:v>
                </c:pt>
                <c:pt idx="1">
                  <c:v>0.95964144132033757</c:v>
                </c:pt>
                <c:pt idx="2">
                  <c:v>0.95964144132033757</c:v>
                </c:pt>
                <c:pt idx="3">
                  <c:v>0.95964144132033757</c:v>
                </c:pt>
                <c:pt idx="4">
                  <c:v>0.95964144132033757</c:v>
                </c:pt>
                <c:pt idx="5">
                  <c:v>0.95440695012498922</c:v>
                </c:pt>
                <c:pt idx="6">
                  <c:v>0.95440695012498922</c:v>
                </c:pt>
                <c:pt idx="7">
                  <c:v>0.95440695012498922</c:v>
                </c:pt>
                <c:pt idx="8">
                  <c:v>0.95440695012498922</c:v>
                </c:pt>
                <c:pt idx="9">
                  <c:v>0.95440695012498922</c:v>
                </c:pt>
                <c:pt idx="10">
                  <c:v>0.94529451064834957</c:v>
                </c:pt>
                <c:pt idx="11">
                  <c:v>0.94529451064834957</c:v>
                </c:pt>
                <c:pt idx="12">
                  <c:v>0.94529451064834957</c:v>
                </c:pt>
                <c:pt idx="13">
                  <c:v>0.94529451064834957</c:v>
                </c:pt>
                <c:pt idx="14">
                  <c:v>0.94529451064834957</c:v>
                </c:pt>
                <c:pt idx="15">
                  <c:v>0.92961072258361377</c:v>
                </c:pt>
                <c:pt idx="16">
                  <c:v>0.92961072258361377</c:v>
                </c:pt>
                <c:pt idx="17">
                  <c:v>0.92961072258361377</c:v>
                </c:pt>
                <c:pt idx="18">
                  <c:v>0.92961072258361377</c:v>
                </c:pt>
                <c:pt idx="19">
                  <c:v>0.92961072258361377</c:v>
                </c:pt>
                <c:pt idx="20">
                  <c:v>0.90313835550960653</c:v>
                </c:pt>
                <c:pt idx="21">
                  <c:v>0.90313835550960653</c:v>
                </c:pt>
                <c:pt idx="22">
                  <c:v>0.90313835550960653</c:v>
                </c:pt>
                <c:pt idx="23">
                  <c:v>0.90313835550960653</c:v>
                </c:pt>
                <c:pt idx="24">
                  <c:v>0.90313835550960653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6-40AD-BF4D-385EBEE5835B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(new)'!$E$90:$E$134</c:f>
              <c:numCache>
                <c:formatCode>0.00</c:formatCode>
                <c:ptCount val="4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0.8</c:v>
                </c:pt>
                <c:pt idx="8">
                  <c:v>1</c:v>
                </c:pt>
                <c:pt idx="9">
                  <c:v>1</c:v>
                </c:pt>
                <c:pt idx="10">
                  <c:v>0.8</c:v>
                </c:pt>
                <c:pt idx="11">
                  <c:v>1</c:v>
                </c:pt>
                <c:pt idx="12">
                  <c:v>1</c:v>
                </c:pt>
                <c:pt idx="13">
                  <c:v>0.9</c:v>
                </c:pt>
                <c:pt idx="14">
                  <c:v>0.9</c:v>
                </c:pt>
                <c:pt idx="15">
                  <c:v>0.8</c:v>
                </c:pt>
                <c:pt idx="16">
                  <c:v>0.7</c:v>
                </c:pt>
                <c:pt idx="17">
                  <c:v>0.9</c:v>
                </c:pt>
                <c:pt idx="18">
                  <c:v>0.8</c:v>
                </c:pt>
                <c:pt idx="19">
                  <c:v>0.7</c:v>
                </c:pt>
                <c:pt idx="20">
                  <c:v>0.1</c:v>
                </c:pt>
                <c:pt idx="21">
                  <c:v>0.3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</c:numCache>
            </c:numRef>
          </c:xVal>
          <c:yVal>
            <c:numRef>
              <c:f>'CA - binary data model (new)'!$P$90:$P$134</c:f>
              <c:numCache>
                <c:formatCode>0.00</c:formatCode>
                <c:ptCount val="45"/>
                <c:pt idx="0">
                  <c:v>0.96410741468632732</c:v>
                </c:pt>
                <c:pt idx="1">
                  <c:v>0.96410741468632732</c:v>
                </c:pt>
                <c:pt idx="2">
                  <c:v>0.96410741468632732</c:v>
                </c:pt>
                <c:pt idx="3">
                  <c:v>0.96410741468632732</c:v>
                </c:pt>
                <c:pt idx="4">
                  <c:v>0.96410741468632732</c:v>
                </c:pt>
                <c:pt idx="5">
                  <c:v>0.95371619080535763</c:v>
                </c:pt>
                <c:pt idx="6">
                  <c:v>0.95371619080535763</c:v>
                </c:pt>
                <c:pt idx="7">
                  <c:v>0.95371619080535763</c:v>
                </c:pt>
                <c:pt idx="8">
                  <c:v>0.95371619080535763</c:v>
                </c:pt>
                <c:pt idx="9">
                  <c:v>0.95371619080535763</c:v>
                </c:pt>
                <c:pt idx="10">
                  <c:v>0.90208634290102196</c:v>
                </c:pt>
                <c:pt idx="11">
                  <c:v>0.90208634290102196</c:v>
                </c:pt>
                <c:pt idx="12">
                  <c:v>0.90208634290102196</c:v>
                </c:pt>
                <c:pt idx="13">
                  <c:v>0.90208634290102196</c:v>
                </c:pt>
                <c:pt idx="14">
                  <c:v>0.90208634290102196</c:v>
                </c:pt>
                <c:pt idx="15">
                  <c:v>0.70115079498463029</c:v>
                </c:pt>
                <c:pt idx="16">
                  <c:v>0.70115079498463029</c:v>
                </c:pt>
                <c:pt idx="17">
                  <c:v>0.70115079498463029</c:v>
                </c:pt>
                <c:pt idx="18">
                  <c:v>0.70115079498463029</c:v>
                </c:pt>
                <c:pt idx="19">
                  <c:v>0.70115079498463029</c:v>
                </c:pt>
                <c:pt idx="20">
                  <c:v>0.32459622776831165</c:v>
                </c:pt>
                <c:pt idx="21">
                  <c:v>0.32459622776831165</c:v>
                </c:pt>
                <c:pt idx="22">
                  <c:v>0.32459622776831165</c:v>
                </c:pt>
                <c:pt idx="23">
                  <c:v>0.32459622776831165</c:v>
                </c:pt>
                <c:pt idx="24">
                  <c:v>0.32459622776831165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6-40AD-BF4D-385EBEE5835B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'CA - binary data model (new)'!$E$135:$E$224</c:f>
              <c:numCache>
                <c:formatCode>0.00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0.9</c:v>
                </c:pt>
                <c:pt idx="9">
                  <c:v>0.9</c:v>
                </c:pt>
                <c:pt idx="10">
                  <c:v>0.8</c:v>
                </c:pt>
                <c:pt idx="11">
                  <c:v>0.9</c:v>
                </c:pt>
                <c:pt idx="12">
                  <c:v>0.9</c:v>
                </c:pt>
                <c:pt idx="13">
                  <c:v>1</c:v>
                </c:pt>
                <c:pt idx="14">
                  <c:v>0.7</c:v>
                </c:pt>
                <c:pt idx="15">
                  <c:v>0.9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0.9</c:v>
                </c:pt>
                <c:pt idx="20">
                  <c:v>0.8</c:v>
                </c:pt>
                <c:pt idx="21">
                  <c:v>0.9</c:v>
                </c:pt>
                <c:pt idx="22">
                  <c:v>1</c:v>
                </c:pt>
                <c:pt idx="23">
                  <c:v>1</c:v>
                </c:pt>
                <c:pt idx="24">
                  <c:v>0.8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0.9</c:v>
                </c:pt>
                <c:pt idx="34">
                  <c:v>0.9</c:v>
                </c:pt>
                <c:pt idx="35">
                  <c:v>1</c:v>
                </c:pt>
                <c:pt idx="36">
                  <c:v>0.8</c:v>
                </c:pt>
                <c:pt idx="37">
                  <c:v>0.8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0.9</c:v>
                </c:pt>
                <c:pt idx="42">
                  <c:v>0.6</c:v>
                </c:pt>
                <c:pt idx="43">
                  <c:v>0.9</c:v>
                </c:pt>
                <c:pt idx="44">
                  <c:v>0.8</c:v>
                </c:pt>
                <c:pt idx="45">
                  <c:v>0.9</c:v>
                </c:pt>
                <c:pt idx="46">
                  <c:v>1</c:v>
                </c:pt>
                <c:pt idx="47">
                  <c:v>0.7</c:v>
                </c:pt>
                <c:pt idx="48">
                  <c:v>0.6</c:v>
                </c:pt>
                <c:pt idx="49">
                  <c:v>0.9</c:v>
                </c:pt>
                <c:pt idx="50">
                  <c:v>0.8</c:v>
                </c:pt>
                <c:pt idx="51">
                  <c:v>0.6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0.8</c:v>
                </c:pt>
                <c:pt idx="61">
                  <c:v>0.9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0.8</c:v>
                </c:pt>
                <c:pt idx="66">
                  <c:v>0.7</c:v>
                </c:pt>
                <c:pt idx="67">
                  <c:v>0.7</c:v>
                </c:pt>
                <c:pt idx="68">
                  <c:v>0.7</c:v>
                </c:pt>
                <c:pt idx="69">
                  <c:v>0.6</c:v>
                </c:pt>
                <c:pt idx="70">
                  <c:v>0.4</c:v>
                </c:pt>
                <c:pt idx="71">
                  <c:v>0.2</c:v>
                </c:pt>
                <c:pt idx="72">
                  <c:v>0.4</c:v>
                </c:pt>
                <c:pt idx="73">
                  <c:v>0.4</c:v>
                </c:pt>
                <c:pt idx="74">
                  <c:v>0.4</c:v>
                </c:pt>
              </c:numCache>
            </c:numRef>
          </c:xVal>
          <c:yVal>
            <c:numRef>
              <c:f>'CA - binary data model (new)'!$P$135:$P$224</c:f>
              <c:numCache>
                <c:formatCode>0.00</c:formatCode>
                <c:ptCount val="90"/>
                <c:pt idx="0">
                  <c:v>0.96180946620695806</c:v>
                </c:pt>
                <c:pt idx="1">
                  <c:v>0.96180946620695806</c:v>
                </c:pt>
                <c:pt idx="2">
                  <c:v>0.96180946620695806</c:v>
                </c:pt>
                <c:pt idx="3">
                  <c:v>0.96180946620695806</c:v>
                </c:pt>
                <c:pt idx="4">
                  <c:v>0.96180946620695806</c:v>
                </c:pt>
                <c:pt idx="5">
                  <c:v>0.95756113321267455</c:v>
                </c:pt>
                <c:pt idx="6">
                  <c:v>0.95756113321267455</c:v>
                </c:pt>
                <c:pt idx="7">
                  <c:v>0.95756113321267455</c:v>
                </c:pt>
                <c:pt idx="8">
                  <c:v>0.95756113321267455</c:v>
                </c:pt>
                <c:pt idx="9">
                  <c:v>0.95756113321267455</c:v>
                </c:pt>
                <c:pt idx="10">
                  <c:v>0.94874978832506418</c:v>
                </c:pt>
                <c:pt idx="11">
                  <c:v>0.94874978832506418</c:v>
                </c:pt>
                <c:pt idx="12">
                  <c:v>0.94874978832506418</c:v>
                </c:pt>
                <c:pt idx="13">
                  <c:v>0.94874978832506418</c:v>
                </c:pt>
                <c:pt idx="14">
                  <c:v>0.94874978832506418</c:v>
                </c:pt>
                <c:pt idx="15">
                  <c:v>0.92871841702021762</c:v>
                </c:pt>
                <c:pt idx="16">
                  <c:v>0.92871841702021762</c:v>
                </c:pt>
                <c:pt idx="17">
                  <c:v>0.92871841702021762</c:v>
                </c:pt>
                <c:pt idx="18">
                  <c:v>0.92871841702021762</c:v>
                </c:pt>
                <c:pt idx="19">
                  <c:v>0.92871841702021762</c:v>
                </c:pt>
                <c:pt idx="20">
                  <c:v>0.87692014020189246</c:v>
                </c:pt>
                <c:pt idx="21">
                  <c:v>0.87692014020189246</c:v>
                </c:pt>
                <c:pt idx="22">
                  <c:v>0.87692014020189246</c:v>
                </c:pt>
                <c:pt idx="23">
                  <c:v>0.87692014020189246</c:v>
                </c:pt>
                <c:pt idx="24">
                  <c:v>0.87692014020189246</c:v>
                </c:pt>
                <c:pt idx="25">
                  <c:v>0.96160894715901257</c:v>
                </c:pt>
                <c:pt idx="26">
                  <c:v>0.96160894715901257</c:v>
                </c:pt>
                <c:pt idx="27">
                  <c:v>0.96160894715901257</c:v>
                </c:pt>
                <c:pt idx="28">
                  <c:v>0.96160894715901257</c:v>
                </c:pt>
                <c:pt idx="29">
                  <c:v>0.96160894715901257</c:v>
                </c:pt>
                <c:pt idx="30">
                  <c:v>0.95586035323810314</c:v>
                </c:pt>
                <c:pt idx="31">
                  <c:v>0.95586035323810314</c:v>
                </c:pt>
                <c:pt idx="32">
                  <c:v>0.95586035323810314</c:v>
                </c:pt>
                <c:pt idx="33">
                  <c:v>0.95586035323810314</c:v>
                </c:pt>
                <c:pt idx="34">
                  <c:v>0.95586035323810314</c:v>
                </c:pt>
                <c:pt idx="35">
                  <c:v>0.94025769949105498</c:v>
                </c:pt>
                <c:pt idx="36">
                  <c:v>0.94025769949105498</c:v>
                </c:pt>
                <c:pt idx="37">
                  <c:v>0.94025769949105498</c:v>
                </c:pt>
                <c:pt idx="38">
                  <c:v>0.94025769949105498</c:v>
                </c:pt>
                <c:pt idx="39">
                  <c:v>0.94025769949105498</c:v>
                </c:pt>
                <c:pt idx="40">
                  <c:v>0.88930023940900149</c:v>
                </c:pt>
                <c:pt idx="41">
                  <c:v>0.88930023940900149</c:v>
                </c:pt>
                <c:pt idx="42">
                  <c:v>0.88930023940900149</c:v>
                </c:pt>
                <c:pt idx="43">
                  <c:v>0.88930023940900149</c:v>
                </c:pt>
                <c:pt idx="44">
                  <c:v>0.88930023940900149</c:v>
                </c:pt>
                <c:pt idx="45">
                  <c:v>0.71534107248438716</c:v>
                </c:pt>
                <c:pt idx="46">
                  <c:v>0.71534107248438716</c:v>
                </c:pt>
                <c:pt idx="47">
                  <c:v>0.71534107248438716</c:v>
                </c:pt>
                <c:pt idx="48">
                  <c:v>0.71534107248438716</c:v>
                </c:pt>
                <c:pt idx="49">
                  <c:v>0.71534107248438716</c:v>
                </c:pt>
                <c:pt idx="50">
                  <c:v>0.96226418210647302</c:v>
                </c:pt>
                <c:pt idx="51">
                  <c:v>0.96226418210647302</c:v>
                </c:pt>
                <c:pt idx="52">
                  <c:v>0.96226418210647302</c:v>
                </c:pt>
                <c:pt idx="53">
                  <c:v>0.96226418210647302</c:v>
                </c:pt>
                <c:pt idx="54">
                  <c:v>0.96226418210647302</c:v>
                </c:pt>
                <c:pt idx="55">
                  <c:v>0.95484430683753652</c:v>
                </c:pt>
                <c:pt idx="56">
                  <c:v>0.95484430683753652</c:v>
                </c:pt>
                <c:pt idx="57">
                  <c:v>0.95484430683753652</c:v>
                </c:pt>
                <c:pt idx="58">
                  <c:v>0.95484430683753652</c:v>
                </c:pt>
                <c:pt idx="59">
                  <c:v>0.95484430683753652</c:v>
                </c:pt>
                <c:pt idx="60">
                  <c:v>0.92669664403148388</c:v>
                </c:pt>
                <c:pt idx="61">
                  <c:v>0.92669664403148388</c:v>
                </c:pt>
                <c:pt idx="62">
                  <c:v>0.92669664403148388</c:v>
                </c:pt>
                <c:pt idx="63">
                  <c:v>0.92669664403148388</c:v>
                </c:pt>
                <c:pt idx="64">
                  <c:v>0.92669664403148388</c:v>
                </c:pt>
                <c:pt idx="65">
                  <c:v>0.81226673400560223</c:v>
                </c:pt>
                <c:pt idx="66">
                  <c:v>0.81226673400560223</c:v>
                </c:pt>
                <c:pt idx="67">
                  <c:v>0.81226673400560223</c:v>
                </c:pt>
                <c:pt idx="68">
                  <c:v>0.81226673400560223</c:v>
                </c:pt>
                <c:pt idx="69">
                  <c:v>0.81226673400560223</c:v>
                </c:pt>
                <c:pt idx="70">
                  <c:v>0.49486362110074061</c:v>
                </c:pt>
                <c:pt idx="71">
                  <c:v>0.49486362110074061</c:v>
                </c:pt>
                <c:pt idx="72">
                  <c:v>0.49486362110074061</c:v>
                </c:pt>
                <c:pt idx="73">
                  <c:v>0.49486362110074061</c:v>
                </c:pt>
                <c:pt idx="74">
                  <c:v>0.49486362110074061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C6-40AD-BF4D-385EBEE5835B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 - binary data model (new)'!$T$2:$T$3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'CA - binary data model (new)'!$T$2:$T$3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C6-40AD-BF4D-385EBEE58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69504"/>
        <c:axId val="1"/>
      </c:scatterChart>
      <c:valAx>
        <c:axId val="1552269504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064277918339567"/>
              <c:y val="0.85827624794540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5.1283827021160175E-2"/>
              <c:y val="0.373723891747997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5226950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0772027558327275"/>
          <c:y val="0.55929713454700369"/>
          <c:w val="0.17735656844817893"/>
          <c:h val="0.1958828673989505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CA</a:t>
            </a:r>
          </a:p>
        </c:rich>
      </c:tx>
      <c:layout>
        <c:manualLayout>
          <c:xMode val="edge"/>
          <c:yMode val="edge"/>
          <c:x val="0.30934884358863068"/>
          <c:y val="4.010162472280828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261343091367572"/>
          <c:y val="0.20301447515921697"/>
          <c:w val="0.76267136280970582"/>
          <c:h val="0.5714481523000181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binary data model (new)'!$A$25:$A$89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</c:numCache>
            </c:numRef>
          </c:xVal>
          <c:yVal>
            <c:numRef>
              <c:f>'CA - binary data model (new)'!$E$25:$E$89</c:f>
              <c:numCache>
                <c:formatCode>0.00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0.8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0.8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1</c:v>
                </c:pt>
                <c:pt idx="17">
                  <c:v>1</c:v>
                </c:pt>
                <c:pt idx="18">
                  <c:v>0.8</c:v>
                </c:pt>
                <c:pt idx="19">
                  <c:v>1</c:v>
                </c:pt>
                <c:pt idx="20">
                  <c:v>1</c:v>
                </c:pt>
                <c:pt idx="21">
                  <c:v>0.8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0.9</c:v>
                </c:pt>
                <c:pt idx="27">
                  <c:v>1</c:v>
                </c:pt>
                <c:pt idx="28">
                  <c:v>0.9</c:v>
                </c:pt>
                <c:pt idx="29">
                  <c:v>0.9</c:v>
                </c:pt>
                <c:pt idx="30">
                  <c:v>1</c:v>
                </c:pt>
                <c:pt idx="31">
                  <c:v>0.9</c:v>
                </c:pt>
                <c:pt idx="32">
                  <c:v>0.8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0.9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0.9</c:v>
                </c:pt>
                <c:pt idx="43">
                  <c:v>0.8</c:v>
                </c:pt>
                <c:pt idx="44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5D-44E7-803B-8D1A02D2FAF5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binary data model (new)'!$AD$4:$AD$16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>
                  <c:v>5.2</c:v>
                </c:pt>
              </c:numCache>
            </c:numRef>
          </c:xVal>
          <c:yVal>
            <c:numRef>
              <c:f>'CA - binary data model (new)'!$AE$4:$AE$16</c:f>
              <c:numCache>
                <c:formatCode>General</c:formatCode>
                <c:ptCount val="13"/>
                <c:pt idx="0">
                  <c:v>0.95559899475100218</c:v>
                </c:pt>
                <c:pt idx="1">
                  <c:v>0.95005828609153398</c:v>
                </c:pt>
                <c:pt idx="2">
                  <c:v>0.94862888259355627</c:v>
                </c:pt>
                <c:pt idx="3">
                  <c:v>0.94683412066304407</c:v>
                </c:pt>
                <c:pt idx="4">
                  <c:v>0.9445825851651275</c:v>
                </c:pt>
                <c:pt idx="5">
                  <c:v>0.94176112439719672</c:v>
                </c:pt>
                <c:pt idx="6">
                  <c:v>0.93823033421746826</c:v>
                </c:pt>
                <c:pt idx="7">
                  <c:v>0.93381948268262871</c:v>
                </c:pt>
                <c:pt idx="8">
                  <c:v>0.92832104226756273</c:v>
                </c:pt>
                <c:pt idx="9">
                  <c:v>0.92148517996565482</c:v>
                </c:pt>
                <c:pt idx="10">
                  <c:v>0.91301483102051018</c:v>
                </c:pt>
                <c:pt idx="11">
                  <c:v>0.90256237067684919</c:v>
                </c:pt>
                <c:pt idx="12">
                  <c:v>0.88972940599150419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5D-44E7-803B-8D1A02D2F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57104"/>
        <c:axId val="1"/>
      </c:scatterChart>
      <c:valAx>
        <c:axId val="1552257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779904513605412"/>
              <c:y val="0.8646912830855537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5.0585345492480491E-2"/>
              <c:y val="0.3934971925925563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5225710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CA</a:t>
            </a:r>
          </a:p>
        </c:rich>
      </c:tx>
      <c:layout>
        <c:manualLayout>
          <c:xMode val="edge"/>
          <c:yMode val="edge"/>
          <c:x val="0.30224109710372543"/>
          <c:y val="3.99016614250934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544411241309247"/>
          <c:y val="0.21447143015987744"/>
          <c:w val="0.70793384489396094"/>
          <c:h val="0.55612940611224027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binary data model (new)'!$B$25:$B$44,'CA - binary data model (new)'!$B$90:$B$134)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7.4999999999999997E-2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1.2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</c:numCache>
            </c:numRef>
          </c:xVal>
          <c:yVal>
            <c:numRef>
              <c:f>('CA - binary data model (new)'!$E$25:$E$44,'CA - binary data model (new)'!$E$90:$E$134)</c:f>
              <c:numCache>
                <c:formatCode>0.00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0.8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0.8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1</c:v>
                </c:pt>
                <c:pt idx="17">
                  <c:v>1</c:v>
                </c:pt>
                <c:pt idx="18">
                  <c:v>0.8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0.8</c:v>
                </c:pt>
                <c:pt idx="28">
                  <c:v>1</c:v>
                </c:pt>
                <c:pt idx="29">
                  <c:v>1</c:v>
                </c:pt>
                <c:pt idx="30">
                  <c:v>0.8</c:v>
                </c:pt>
                <c:pt idx="31">
                  <c:v>1</c:v>
                </c:pt>
                <c:pt idx="32">
                  <c:v>1</c:v>
                </c:pt>
                <c:pt idx="33">
                  <c:v>0.9</c:v>
                </c:pt>
                <c:pt idx="34">
                  <c:v>0.9</c:v>
                </c:pt>
                <c:pt idx="35">
                  <c:v>0.8</c:v>
                </c:pt>
                <c:pt idx="36">
                  <c:v>0.7</c:v>
                </c:pt>
                <c:pt idx="37">
                  <c:v>0.9</c:v>
                </c:pt>
                <c:pt idx="38">
                  <c:v>0.8</c:v>
                </c:pt>
                <c:pt idx="39">
                  <c:v>0.7</c:v>
                </c:pt>
                <c:pt idx="40">
                  <c:v>0.1</c:v>
                </c:pt>
                <c:pt idx="41">
                  <c:v>0.3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BC-4E16-9DD5-6F4976338E3B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binary data model (new)'!$AK$4:$AK$16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>
                  <c:v>1.56</c:v>
                </c:pt>
              </c:numCache>
            </c:numRef>
          </c:xVal>
          <c:yVal>
            <c:numRef>
              <c:f>'CA - binary data model (new)'!$AL$4:$AL$16</c:f>
              <c:numCache>
                <c:formatCode>General</c:formatCode>
                <c:ptCount val="13"/>
                <c:pt idx="0">
                  <c:v>0.95559899475100218</c:v>
                </c:pt>
                <c:pt idx="1">
                  <c:v>0.95293795804575521</c:v>
                </c:pt>
                <c:pt idx="2">
                  <c:v>0.95048769736148875</c:v>
                </c:pt>
                <c:pt idx="3">
                  <c:v>0.94580444643051853</c:v>
                </c:pt>
                <c:pt idx="4">
                  <c:v>0.93691449683655958</c:v>
                </c:pt>
                <c:pt idx="5">
                  <c:v>0.92025716015568781</c:v>
                </c:pt>
                <c:pt idx="6">
                  <c:v>0.88979274284197685</c:v>
                </c:pt>
                <c:pt idx="7">
                  <c:v>0.83646769485063932</c:v>
                </c:pt>
                <c:pt idx="8">
                  <c:v>0.74991995744439588</c:v>
                </c:pt>
                <c:pt idx="9">
                  <c:v>0.6253225399888902</c:v>
                </c:pt>
                <c:pt idx="10">
                  <c:v>0.47374438505298982</c:v>
                </c:pt>
                <c:pt idx="11">
                  <c:v>0.32297815059401441</c:v>
                </c:pt>
                <c:pt idx="12">
                  <c:v>0.20025231997681098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BC-4E16-9DD5-6F4976338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41232"/>
        <c:axId val="1"/>
      </c:scatterChart>
      <c:valAx>
        <c:axId val="15522412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2942903586625734"/>
              <c:y val="0.860379574478578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9.7366259469656519E-2"/>
              <c:y val="0.396522760411866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5224123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SA</a:t>
            </a:r>
          </a:p>
        </c:rich>
      </c:tx>
      <c:layout>
        <c:manualLayout>
          <c:xMode val="edge"/>
          <c:yMode val="edge"/>
          <c:x val="0.30351207295488297"/>
          <c:y val="3.653093264637163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455902112492496"/>
          <c:y val="0.1895042131030529"/>
          <c:w val="0.73932428027471486"/>
          <c:h val="0.6027603886651320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binary data model (new)'!$A$25:$A$89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</c:numCache>
            </c:numRef>
          </c:xVal>
          <c:yVal>
            <c:numRef>
              <c:f>'CA - binary data model (new)'!$E$25:$E$89</c:f>
              <c:numCache>
                <c:formatCode>0.00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0.8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0.8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1</c:v>
                </c:pt>
                <c:pt idx="17">
                  <c:v>1</c:v>
                </c:pt>
                <c:pt idx="18">
                  <c:v>0.8</c:v>
                </c:pt>
                <c:pt idx="19">
                  <c:v>1</c:v>
                </c:pt>
                <c:pt idx="20">
                  <c:v>1</c:v>
                </c:pt>
                <c:pt idx="21">
                  <c:v>0.8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0.9</c:v>
                </c:pt>
                <c:pt idx="27">
                  <c:v>1</c:v>
                </c:pt>
                <c:pt idx="28">
                  <c:v>0.9</c:v>
                </c:pt>
                <c:pt idx="29">
                  <c:v>0.9</c:v>
                </c:pt>
                <c:pt idx="30">
                  <c:v>1</c:v>
                </c:pt>
                <c:pt idx="31">
                  <c:v>0.9</c:v>
                </c:pt>
                <c:pt idx="32">
                  <c:v>0.8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0.9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0.9</c:v>
                </c:pt>
                <c:pt idx="43">
                  <c:v>0.8</c:v>
                </c:pt>
                <c:pt idx="44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06-4AC8-989A-496B58BB949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binary data model (new)'!$AD$20:$AD$37</c:f>
              <c:numCache>
                <c:formatCode>General</c:formatCode>
                <c:ptCount val="18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9">
                  <c:v>1.8206645425580334</c:v>
                </c:pt>
                <c:pt idx="11">
                  <c:v>2.3668639053254434</c:v>
                </c:pt>
                <c:pt idx="13">
                  <c:v>3.0769230769230766</c:v>
                </c:pt>
                <c:pt idx="15">
                  <c:v>4</c:v>
                </c:pt>
                <c:pt idx="17">
                  <c:v>5.2</c:v>
                </c:pt>
              </c:numCache>
            </c:numRef>
          </c:xVal>
          <c:yVal>
            <c:numRef>
              <c:f>'CA - binary data model (new)'!$AE$20:$AE$37</c:f>
              <c:numCache>
                <c:formatCode>General</c:formatCode>
                <c:ptCount val="18"/>
                <c:pt idx="0">
                  <c:v>0.95663716192180837</c:v>
                </c:pt>
                <c:pt idx="1">
                  <c:v>0.9489728996333493</c:v>
                </c:pt>
                <c:pt idx="2">
                  <c:v>0.94713966517014403</c:v>
                </c:pt>
                <c:pt idx="3">
                  <c:v>0.94487337042179753</c:v>
                </c:pt>
                <c:pt idx="4">
                  <c:v>0.94207460663749421</c:v>
                </c:pt>
                <c:pt idx="5">
                  <c:v>0.93862267443187242</c:v>
                </c:pt>
                <c:pt idx="6">
                  <c:v>0.93437182936095031</c:v>
                </c:pt>
                <c:pt idx="7">
                  <c:v>0.92914729747993086</c:v>
                </c:pt>
                <c:pt idx="9">
                  <c:v>0.92274130844764457</c:v>
                </c:pt>
                <c:pt idx="11">
                  <c:v>0.91490956645598043</c:v>
                </c:pt>
                <c:pt idx="13">
                  <c:v>0.90536881635136746</c:v>
                </c:pt>
                <c:pt idx="15">
                  <c:v>0.89379646620699427</c:v>
                </c:pt>
                <c:pt idx="17">
                  <c:v>0.87983358162752989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706-4AC8-989A-496B58BB9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59584"/>
        <c:axId val="1"/>
      </c:scatterChart>
      <c:valAx>
        <c:axId val="1552259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4941799136573094"/>
              <c:y val="0.8835919333841141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4.2802984647483493E-2"/>
              <c:y val="0.4018402591100880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5225958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SA</a:t>
            </a:r>
          </a:p>
        </c:rich>
      </c:tx>
      <c:layout>
        <c:manualLayout>
          <c:xMode val="edge"/>
          <c:yMode val="edge"/>
          <c:x val="0.29304299432397052"/>
          <c:y val="3.85499399560270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336843623295655"/>
          <c:y val="0.19955263036061055"/>
          <c:w val="0.7008440843272582"/>
          <c:h val="0.55557266407215433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binary data model (new)'!$B$25:$B$44,'CA - binary data model (new)'!$B$90:$B$134)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7.4999999999999997E-2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1.2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</c:numCache>
            </c:numRef>
          </c:xVal>
          <c:yVal>
            <c:numRef>
              <c:f>('CA - binary data model (new)'!$E$25:$E$44,'CA - binary data model (new)'!$E$90:$E$134)</c:f>
              <c:numCache>
                <c:formatCode>0.00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0.8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0.8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1</c:v>
                </c:pt>
                <c:pt idx="17">
                  <c:v>1</c:v>
                </c:pt>
                <c:pt idx="18">
                  <c:v>0.8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0.8</c:v>
                </c:pt>
                <c:pt idx="28">
                  <c:v>1</c:v>
                </c:pt>
                <c:pt idx="29">
                  <c:v>1</c:v>
                </c:pt>
                <c:pt idx="30">
                  <c:v>0.8</c:v>
                </c:pt>
                <c:pt idx="31">
                  <c:v>1</c:v>
                </c:pt>
                <c:pt idx="32">
                  <c:v>1</c:v>
                </c:pt>
                <c:pt idx="33">
                  <c:v>0.9</c:v>
                </c:pt>
                <c:pt idx="34">
                  <c:v>0.9</c:v>
                </c:pt>
                <c:pt idx="35">
                  <c:v>0.8</c:v>
                </c:pt>
                <c:pt idx="36">
                  <c:v>0.7</c:v>
                </c:pt>
                <c:pt idx="37">
                  <c:v>0.9</c:v>
                </c:pt>
                <c:pt idx="38">
                  <c:v>0.8</c:v>
                </c:pt>
                <c:pt idx="39">
                  <c:v>0.7</c:v>
                </c:pt>
                <c:pt idx="40">
                  <c:v>0.1</c:v>
                </c:pt>
                <c:pt idx="41">
                  <c:v>0.3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14-4B40-8630-E3A0D3A609B8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binary data model (new)'!$AK$20:$AK$37</c:f>
              <c:numCache>
                <c:formatCode>General</c:formatCode>
                <c:ptCount val="18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9">
                  <c:v>0.5461993627674101</c:v>
                </c:pt>
                <c:pt idx="11">
                  <c:v>0.7100591715976331</c:v>
                </c:pt>
                <c:pt idx="13">
                  <c:v>0.92307692307692302</c:v>
                </c:pt>
                <c:pt idx="15">
                  <c:v>1.2</c:v>
                </c:pt>
                <c:pt idx="17">
                  <c:v>1.56</c:v>
                </c:pt>
              </c:numCache>
            </c:numRef>
          </c:xVal>
          <c:yVal>
            <c:numRef>
              <c:f>'CA - binary data model (new)'!$AL$20:$AL$37</c:f>
              <c:numCache>
                <c:formatCode>General</c:formatCode>
                <c:ptCount val="18"/>
                <c:pt idx="0">
                  <c:v>0.95663716192180837</c:v>
                </c:pt>
                <c:pt idx="1">
                  <c:v>0.95313174394528677</c:v>
                </c:pt>
                <c:pt idx="2">
                  <c:v>0.95005987586233009</c:v>
                </c:pt>
                <c:pt idx="3">
                  <c:v>0.94433082507560362</c:v>
                </c:pt>
                <c:pt idx="4">
                  <c:v>0.93373187712841355</c:v>
                </c:pt>
                <c:pt idx="5">
                  <c:v>0.91441265224842139</c:v>
                </c:pt>
                <c:pt idx="6">
                  <c:v>0.88013388980366525</c:v>
                </c:pt>
                <c:pt idx="7">
                  <c:v>0.8221206221424977</c:v>
                </c:pt>
                <c:pt idx="9">
                  <c:v>0.73137464844793176</c:v>
                </c:pt>
                <c:pt idx="11">
                  <c:v>0.60555360203196673</c:v>
                </c:pt>
                <c:pt idx="13">
                  <c:v>0.457424164918453</c:v>
                </c:pt>
                <c:pt idx="15">
                  <c:v>0.31320423396628494</c:v>
                </c:pt>
                <c:pt idx="17">
                  <c:v>0.19655209022640216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14-4B40-8630-E3A0D3A60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70496"/>
        <c:axId val="1"/>
      </c:scatterChart>
      <c:valAx>
        <c:axId val="155227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0001741688845314"/>
              <c:y val="0.845831035505769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3526802965336263E-2"/>
              <c:y val="0.3877670430870954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5227049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DR</a:t>
            </a:r>
          </a:p>
        </c:rich>
      </c:tx>
      <c:layout>
        <c:manualLayout>
          <c:xMode val="edge"/>
          <c:yMode val="edge"/>
          <c:x val="0.30995171698554225"/>
          <c:y val="3.89308221400635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519127744419189"/>
          <c:y val="0.18492140516530198"/>
          <c:w val="0.74856263724810201"/>
          <c:h val="0.6131604487060012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binary data model (new)'!$A$25:$A$89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</c:numCache>
            </c:numRef>
          </c:xVal>
          <c:yVal>
            <c:numRef>
              <c:f>'CA - binary data model (new)'!$E$25:$E$89</c:f>
              <c:numCache>
                <c:formatCode>0.00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0.8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0.8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1</c:v>
                </c:pt>
                <c:pt idx="17">
                  <c:v>1</c:v>
                </c:pt>
                <c:pt idx="18">
                  <c:v>0.8</c:v>
                </c:pt>
                <c:pt idx="19">
                  <c:v>1</c:v>
                </c:pt>
                <c:pt idx="20">
                  <c:v>1</c:v>
                </c:pt>
                <c:pt idx="21">
                  <c:v>0.8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0.9</c:v>
                </c:pt>
                <c:pt idx="27">
                  <c:v>1</c:v>
                </c:pt>
                <c:pt idx="28">
                  <c:v>0.9</c:v>
                </c:pt>
                <c:pt idx="29">
                  <c:v>0.9</c:v>
                </c:pt>
                <c:pt idx="30">
                  <c:v>1</c:v>
                </c:pt>
                <c:pt idx="31">
                  <c:v>0.9</c:v>
                </c:pt>
                <c:pt idx="32">
                  <c:v>0.8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0.9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0.9</c:v>
                </c:pt>
                <c:pt idx="43">
                  <c:v>0.8</c:v>
                </c:pt>
                <c:pt idx="44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E-4FCE-A2C7-9EEB773BE13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binary data model (new)'!$AD$42:$AD$54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 formatCode="0.00">
                  <c:v>5.2</c:v>
                </c:pt>
              </c:numCache>
            </c:numRef>
          </c:xVal>
          <c:yVal>
            <c:numRef>
              <c:f>'CA - binary data model (new)'!$AE$42:$AE$54</c:f>
              <c:numCache>
                <c:formatCode>General</c:formatCode>
                <c:ptCount val="13"/>
                <c:pt idx="0">
                  <c:v>0.95621645950827827</c:v>
                </c:pt>
                <c:pt idx="1">
                  <c:v>0.94696348541034825</c:v>
                </c:pt>
                <c:pt idx="2">
                  <c:v>0.94485131350539375</c:v>
                </c:pt>
                <c:pt idx="3">
                  <c:v>0.94226410095900737</c:v>
                </c:pt>
                <c:pt idx="4">
                  <c:v>0.93909859407282525</c:v>
                </c:pt>
                <c:pt idx="5">
                  <c:v>0.93523089304165563</c:v>
                </c:pt>
                <c:pt idx="6">
                  <c:v>0.93051322162697259</c:v>
                </c:pt>
                <c:pt idx="7">
                  <c:v>0.924770651359338</c:v>
                </c:pt>
                <c:pt idx="8">
                  <c:v>0.91779805798562719</c:v>
                </c:pt>
                <c:pt idx="9">
                  <c:v>0.90935774589245455</c:v>
                </c:pt>
                <c:pt idx="10">
                  <c:v>0.89917838146210416</c:v>
                </c:pt>
                <c:pt idx="11">
                  <c:v>0.88695612300513249</c:v>
                </c:pt>
                <c:pt idx="12" formatCode="0.00">
                  <c:v>0.87235909852873317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CE-4FCE-A2C7-9EEB773BE1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61072"/>
        <c:axId val="1"/>
      </c:scatterChart>
      <c:valAx>
        <c:axId val="155226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49319361256190053"/>
              <c:y val="0.8856762036864463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4.2886401092339176E-2"/>
              <c:y val="0.3990409269356516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5226107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DL</a:t>
            </a:r>
          </a:p>
        </c:rich>
      </c:tx>
      <c:layout>
        <c:manualLayout>
          <c:xMode val="edge"/>
          <c:yMode val="edge"/>
          <c:x val="0.31202618876395377"/>
          <c:y val="4.092215979036884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1148318793516"/>
          <c:y val="0.19182262401735395"/>
          <c:w val="0.75002568355062182"/>
          <c:h val="0.59592895194724627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'CA - binary data model (new)'!$A$25:$A$89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</c:numCache>
            </c:numRef>
          </c:xVal>
          <c:yVal>
            <c:numRef>
              <c:f>'CA - binary data model (new)'!$E$25:$E$89</c:f>
              <c:numCache>
                <c:formatCode>0.00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0.8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0.8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1</c:v>
                </c:pt>
                <c:pt idx="17">
                  <c:v>1</c:v>
                </c:pt>
                <c:pt idx="18">
                  <c:v>0.8</c:v>
                </c:pt>
                <c:pt idx="19">
                  <c:v>1</c:v>
                </c:pt>
                <c:pt idx="20">
                  <c:v>1</c:v>
                </c:pt>
                <c:pt idx="21">
                  <c:v>0.8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0.9</c:v>
                </c:pt>
                <c:pt idx="27">
                  <c:v>1</c:v>
                </c:pt>
                <c:pt idx="28">
                  <c:v>0.9</c:v>
                </c:pt>
                <c:pt idx="29">
                  <c:v>0.9</c:v>
                </c:pt>
                <c:pt idx="30">
                  <c:v>1</c:v>
                </c:pt>
                <c:pt idx="31">
                  <c:v>0.9</c:v>
                </c:pt>
                <c:pt idx="32">
                  <c:v>0.8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0.9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0.9</c:v>
                </c:pt>
                <c:pt idx="43">
                  <c:v>0.8</c:v>
                </c:pt>
                <c:pt idx="44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3D-4D83-A454-FEB88C67998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binary data model (new)'!$AD$59:$AD$71</c:f>
              <c:numCache>
                <c:formatCode>General</c:formatCode>
                <c:ptCount val="13"/>
                <c:pt idx="0">
                  <c:v>0</c:v>
                </c:pt>
                <c:pt idx="1">
                  <c:v>0.2901526011456228</c:v>
                </c:pt>
                <c:pt idx="2">
                  <c:v>0.37719838148930962</c:v>
                </c:pt>
                <c:pt idx="3">
                  <c:v>0.49035789593610252</c:v>
                </c:pt>
                <c:pt idx="4">
                  <c:v>0.63746526471693332</c:v>
                </c:pt>
                <c:pt idx="5">
                  <c:v>0.82870484413201329</c:v>
                </c:pt>
                <c:pt idx="6">
                  <c:v>1.0773162973716173</c:v>
                </c:pt>
                <c:pt idx="7">
                  <c:v>1.4005111865831026</c:v>
                </c:pt>
                <c:pt idx="8">
                  <c:v>1.8206645425580334</c:v>
                </c:pt>
                <c:pt idx="9">
                  <c:v>2.3668639053254434</c:v>
                </c:pt>
                <c:pt idx="10">
                  <c:v>3.0769230769230766</c:v>
                </c:pt>
                <c:pt idx="11">
                  <c:v>4</c:v>
                </c:pt>
                <c:pt idx="12" formatCode="0.00">
                  <c:v>5.2</c:v>
                </c:pt>
              </c:numCache>
            </c:numRef>
          </c:xVal>
          <c:yVal>
            <c:numRef>
              <c:f>'CA - binary data model (new)'!$AE$59:$AE$71</c:f>
              <c:numCache>
                <c:formatCode>General</c:formatCode>
                <c:ptCount val="13"/>
                <c:pt idx="0">
                  <c:v>0.95654886929596616</c:v>
                </c:pt>
                <c:pt idx="1">
                  <c:v>0.94874941284839065</c:v>
                </c:pt>
                <c:pt idx="2">
                  <c:v>0.94689178246838657</c:v>
                </c:pt>
                <c:pt idx="3">
                  <c:v>0.94459728570403323</c:v>
                </c:pt>
                <c:pt idx="4">
                  <c:v>0.9417661339907003</c:v>
                </c:pt>
                <c:pt idx="5">
                  <c:v>0.93827729739644117</c:v>
                </c:pt>
                <c:pt idx="6">
                  <c:v>0.93398479705495852</c:v>
                </c:pt>
                <c:pt idx="7">
                  <c:v>0.9287137851929802</c:v>
                </c:pt>
                <c:pt idx="8">
                  <c:v>0.92225666367124148</c:v>
                </c:pt>
                <c:pt idx="9">
                  <c:v>0.9143696635383407</c:v>
                </c:pt>
                <c:pt idx="10">
                  <c:v>0.90477054245037714</c:v>
                </c:pt>
                <c:pt idx="11">
                  <c:v>0.89313835550960652</c:v>
                </c:pt>
                <c:pt idx="12" formatCode="0.00">
                  <c:v>0.87911660055084573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73D-4D83-A454-FEB88C679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63056"/>
        <c:axId val="1"/>
      </c:scatterChart>
      <c:valAx>
        <c:axId val="1552263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49226491891952956"/>
              <c:y val="0.879826435492930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4.2637118961534055E-2"/>
              <c:y val="0.3913181529954020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5226305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DR</a:t>
            </a:r>
          </a:p>
        </c:rich>
      </c:tx>
      <c:layout>
        <c:manualLayout>
          <c:xMode val="edge"/>
          <c:yMode val="edge"/>
          <c:x val="0.29897906166197741"/>
          <c:y val="3.931334812822788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650207913453534"/>
          <c:y val="0.18673840360908245"/>
          <c:w val="0.70724012517281554"/>
          <c:h val="0.56512937934327589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binary data model (new)'!$B$25:$B$44,'CA - binary data model (new)'!$B$90:$B$134)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7.4999999999999997E-2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1.2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</c:numCache>
            </c:numRef>
          </c:xVal>
          <c:yVal>
            <c:numRef>
              <c:f>('CA - binary data model (new)'!$E$25:$E$44,'CA - binary data model (new)'!$E$90:$E$134)</c:f>
              <c:numCache>
                <c:formatCode>0.00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0.8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0.8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1</c:v>
                </c:pt>
                <c:pt idx="17">
                  <c:v>1</c:v>
                </c:pt>
                <c:pt idx="18">
                  <c:v>0.8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0.8</c:v>
                </c:pt>
                <c:pt idx="28">
                  <c:v>1</c:v>
                </c:pt>
                <c:pt idx="29">
                  <c:v>1</c:v>
                </c:pt>
                <c:pt idx="30">
                  <c:v>0.8</c:v>
                </c:pt>
                <c:pt idx="31">
                  <c:v>1</c:v>
                </c:pt>
                <c:pt idx="32">
                  <c:v>1</c:v>
                </c:pt>
                <c:pt idx="33">
                  <c:v>0.9</c:v>
                </c:pt>
                <c:pt idx="34">
                  <c:v>0.9</c:v>
                </c:pt>
                <c:pt idx="35">
                  <c:v>0.8</c:v>
                </c:pt>
                <c:pt idx="36">
                  <c:v>0.7</c:v>
                </c:pt>
                <c:pt idx="37">
                  <c:v>0.9</c:v>
                </c:pt>
                <c:pt idx="38">
                  <c:v>0.8</c:v>
                </c:pt>
                <c:pt idx="39">
                  <c:v>0.7</c:v>
                </c:pt>
                <c:pt idx="40">
                  <c:v>0.1</c:v>
                </c:pt>
                <c:pt idx="41">
                  <c:v>0.3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0C-4680-9904-B4F294A49FC8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binary data model (new)'!$AK$43:$AK$55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 formatCode="0.00">
                  <c:v>1.56</c:v>
                </c:pt>
              </c:numCache>
            </c:numRef>
          </c:xVal>
          <c:yVal>
            <c:numRef>
              <c:f>'CA - binary data model (new)'!$AL$43:$AL$55</c:f>
              <c:numCache>
                <c:formatCode>General</c:formatCode>
                <c:ptCount val="13"/>
                <c:pt idx="0">
                  <c:v>0.95621645950827827</c:v>
                </c:pt>
                <c:pt idx="1">
                  <c:v>0.95366605197104215</c:v>
                </c:pt>
                <c:pt idx="2">
                  <c:v>0.95130651375866215</c:v>
                </c:pt>
                <c:pt idx="3">
                  <c:v>0.94678560956750346</c:v>
                </c:pt>
                <c:pt idx="4">
                  <c:v>0.93818093598981589</c:v>
                </c:pt>
                <c:pt idx="5">
                  <c:v>0.92200904167339226</c:v>
                </c:pt>
                <c:pt idx="6">
                  <c:v>0.8923238567870142</c:v>
                </c:pt>
                <c:pt idx="7">
                  <c:v>0.84012155321055093</c:v>
                </c:pt>
                <c:pt idx="8">
                  <c:v>0.75489116451492155</c:v>
                </c:pt>
                <c:pt idx="9">
                  <c:v>0.63128960659017819</c:v>
                </c:pt>
                <c:pt idx="10">
                  <c:v>0.47970454649767824</c:v>
                </c:pt>
                <c:pt idx="11">
                  <c:v>0.32779787257047338</c:v>
                </c:pt>
                <c:pt idx="12" formatCode="0.00">
                  <c:v>0.20345616319170415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90C-4680-9904-B4F294A49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43712"/>
        <c:axId val="1"/>
      </c:scatterChart>
      <c:valAx>
        <c:axId val="155224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49898574429102432"/>
              <c:y val="0.84032281624087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5981586021953628E-2"/>
              <c:y val="0.3759338914761791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5224371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DL</a:t>
            </a:r>
          </a:p>
        </c:rich>
      </c:tx>
      <c:layout>
        <c:manualLayout>
          <c:xMode val="edge"/>
          <c:yMode val="edge"/>
          <c:x val="0.30185841513202472"/>
          <c:y val="4.102706643265913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561315366573194"/>
          <c:y val="0.21282790711941926"/>
          <c:w val="0.70844321918740494"/>
          <c:h val="0.53078767197252763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('CA - binary data model (new)'!$B$25:$B$44,'CA - binary data model (new)'!$B$90:$B$134)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7.4999999999999997E-2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1.2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</c:numCache>
            </c:numRef>
          </c:xVal>
          <c:yVal>
            <c:numRef>
              <c:f>('CA - binary data model (new)'!$E$25:$E$44,'CA - binary data model (new)'!$E$90:$E$134)</c:f>
              <c:numCache>
                <c:formatCode>0.00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0.8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0.8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1</c:v>
                </c:pt>
                <c:pt idx="17">
                  <c:v>1</c:v>
                </c:pt>
                <c:pt idx="18">
                  <c:v>0.8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0.8</c:v>
                </c:pt>
                <c:pt idx="28">
                  <c:v>1</c:v>
                </c:pt>
                <c:pt idx="29">
                  <c:v>1</c:v>
                </c:pt>
                <c:pt idx="30">
                  <c:v>0.8</c:v>
                </c:pt>
                <c:pt idx="31">
                  <c:v>1</c:v>
                </c:pt>
                <c:pt idx="32">
                  <c:v>1</c:v>
                </c:pt>
                <c:pt idx="33">
                  <c:v>0.9</c:v>
                </c:pt>
                <c:pt idx="34">
                  <c:v>0.9</c:v>
                </c:pt>
                <c:pt idx="35">
                  <c:v>0.8</c:v>
                </c:pt>
                <c:pt idx="36">
                  <c:v>0.7</c:v>
                </c:pt>
                <c:pt idx="37">
                  <c:v>0.9</c:v>
                </c:pt>
                <c:pt idx="38">
                  <c:v>0.8</c:v>
                </c:pt>
                <c:pt idx="39">
                  <c:v>0.7</c:v>
                </c:pt>
                <c:pt idx="40">
                  <c:v>0.1</c:v>
                </c:pt>
                <c:pt idx="41">
                  <c:v>0.3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95-4AE0-89AB-F687FB029D5C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'CA - binary data model (new)'!$AK$59:$AK$71</c:f>
              <c:numCache>
                <c:formatCode>General</c:formatCode>
                <c:ptCount val="13"/>
                <c:pt idx="0">
                  <c:v>0</c:v>
                </c:pt>
                <c:pt idx="1">
                  <c:v>8.7045780343686832E-2</c:v>
                </c:pt>
                <c:pt idx="2">
                  <c:v>0.11315951444679288</c:v>
                </c:pt>
                <c:pt idx="3">
                  <c:v>0.14710736878083075</c:v>
                </c:pt>
                <c:pt idx="4">
                  <c:v>0.19123957941507999</c:v>
                </c:pt>
                <c:pt idx="5">
                  <c:v>0.24861145323960399</c:v>
                </c:pt>
                <c:pt idx="6">
                  <c:v>0.3231948892114852</c:v>
                </c:pt>
                <c:pt idx="7">
                  <c:v>0.42015335597493081</c:v>
                </c:pt>
                <c:pt idx="8">
                  <c:v>0.5461993627674101</c:v>
                </c:pt>
                <c:pt idx="9">
                  <c:v>0.7100591715976331</c:v>
                </c:pt>
                <c:pt idx="10">
                  <c:v>0.92307692307692302</c:v>
                </c:pt>
                <c:pt idx="11">
                  <c:v>1.2</c:v>
                </c:pt>
                <c:pt idx="12" formatCode="0.00">
                  <c:v>1.56</c:v>
                </c:pt>
              </c:numCache>
            </c:numRef>
          </c:xVal>
          <c:yVal>
            <c:numRef>
              <c:f>'CA - binary data model (new)'!$AL$59:$AL$71</c:f>
              <c:numCache>
                <c:formatCode>General</c:formatCode>
                <c:ptCount val="13"/>
                <c:pt idx="0">
                  <c:v>0.95654886929596616</c:v>
                </c:pt>
                <c:pt idx="1">
                  <c:v>0.95305704618670273</c:v>
                </c:pt>
                <c:pt idx="2">
                  <c:v>0.94999891811403214</c:v>
                </c:pt>
                <c:pt idx="3">
                  <c:v>0.94429692142439803</c:v>
                </c:pt>
                <c:pt idx="4">
                  <c:v>0.93375023128570966</c:v>
                </c:pt>
                <c:pt idx="5">
                  <c:v>0.91452876141166961</c:v>
                </c:pt>
                <c:pt idx="6">
                  <c:v>0.88042291556291985</c:v>
                </c:pt>
                <c:pt idx="7">
                  <c:v>0.82268679526379396</c:v>
                </c:pt>
                <c:pt idx="8">
                  <c:v>0.73231446401402545</c:v>
                </c:pt>
                <c:pt idx="9">
                  <c:v>0.60686359873027806</c:v>
                </c:pt>
                <c:pt idx="10">
                  <c:v>0.45892039427847853</c:v>
                </c:pt>
                <c:pt idx="11">
                  <c:v>0.31459622776831164</c:v>
                </c:pt>
                <c:pt idx="12" formatCode="0.00">
                  <c:v>0.19763411113948381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95-4AE0-89AB-F687FB029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49664"/>
        <c:axId val="1"/>
      </c:scatterChart>
      <c:valAx>
        <c:axId val="1552249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49899044134069392"/>
              <c:y val="0.83592647856542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5710675402889732E-2"/>
              <c:y val="0.3795003645020970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5224966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Independent Action</a:t>
            </a:r>
          </a:p>
        </c:rich>
      </c:tx>
      <c:layout>
        <c:manualLayout>
          <c:xMode val="edge"/>
          <c:yMode val="edge"/>
          <c:x val="0.30838007693906533"/>
          <c:y val="2.7714502898380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027148352790379"/>
          <c:y val="0.12702480495091131"/>
          <c:w val="0.66301716541899036"/>
          <c:h val="0.64436219238735015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(new)'!$E$40:$E$84</c:f>
              <c:numCache>
                <c:formatCode>0.00</c:formatCode>
                <c:ptCount val="45"/>
                <c:pt idx="0">
                  <c:v>0</c:v>
                </c:pt>
              </c:numCache>
            </c:numRef>
          </c:xVal>
          <c:yVal>
            <c:numRef>
              <c:f>'IA - binary data model (new)'!$F$40:$F$84</c:f>
              <c:numCache>
                <c:formatCode>0.00</c:formatCode>
                <c:ptCount val="45"/>
                <c:pt idx="0">
                  <c:v>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15-4430-85F1-6E749F2072EA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(new)'!$E$85:$E$129</c:f>
              <c:numCache>
                <c:formatCode>0.00</c:formatCode>
                <c:ptCount val="45"/>
                <c:pt idx="0">
                  <c:v>0</c:v>
                </c:pt>
              </c:numCache>
            </c:numRef>
          </c:xVal>
          <c:yVal>
            <c:numRef>
              <c:f>'IA - binary data model (new)'!$F$85:$F$129</c:f>
              <c:numCache>
                <c:formatCode>0.00</c:formatCode>
                <c:ptCount val="45"/>
                <c:pt idx="0">
                  <c:v>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15-4430-85F1-6E749F2072EA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(new)'!$E$130:$E$219</c:f>
              <c:numCache>
                <c:formatCode>0.00</c:formatCode>
                <c:ptCount val="90"/>
                <c:pt idx="0">
                  <c:v>0</c:v>
                </c:pt>
              </c:numCache>
            </c:numRef>
          </c:xVal>
          <c:yVal>
            <c:numRef>
              <c:f>'IA - binary data model (new)'!$F$130:$F$219</c:f>
              <c:numCache>
                <c:formatCode>0.00</c:formatCode>
                <c:ptCount val="90"/>
                <c:pt idx="0">
                  <c:v>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15-4430-85F1-6E749F2072EA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'IA - binary data model (new)'!$T$2:$T$3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'IA - binary data model (new)'!$T$2:$T$3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15-4430-85F1-6E749F2072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667488"/>
        <c:axId val="1"/>
      </c:scatterChart>
      <c:valAx>
        <c:axId val="1549667488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49781355277306255"/>
              <c:y val="0.875316383207188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4.6257011540859795E-2"/>
              <c:y val="0.378764872944535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4966748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0178820004156981"/>
          <c:y val="0.57738547704959686"/>
          <c:w val="0.18282533132816015"/>
          <c:h val="0.1755251850230774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IA to the complete data set</a:t>
            </a:r>
          </a:p>
        </c:rich>
      </c:tx>
      <c:layout>
        <c:manualLayout>
          <c:xMode val="edge"/>
          <c:yMode val="edge"/>
          <c:x val="0.16042165414103668"/>
          <c:y val="3.72106122013288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20911707930576"/>
          <c:y val="0.27907959150996642"/>
          <c:w val="0.66877079193860745"/>
          <c:h val="0.46745831577919372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(new)'!$F$222:$F$311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'IA - binary data model (new)'!$H$222:$H$311</c:f>
              <c:numCache>
                <c:formatCode>0.00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19-46BC-85C3-F6B2663DC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668976"/>
        <c:axId val="1"/>
      </c:scatterChart>
      <c:valAx>
        <c:axId val="1549668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47918156431738224"/>
              <c:y val="0.865146733680895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4.5834758326010479E-2"/>
              <c:y val="0.3976884179017021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4966897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DR to the complete data set</a:t>
            </a:r>
          </a:p>
        </c:rich>
      </c:tx>
      <c:layout>
        <c:manualLayout>
          <c:xMode val="edge"/>
          <c:yMode val="edge"/>
          <c:x val="0.15933459421524304"/>
          <c:y val="3.88361452713966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36774460532159"/>
          <c:y val="0.28884383045601258"/>
          <c:w val="0.66668948632167491"/>
          <c:h val="0.4466156706210614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(new)'!$M$222:$M$311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'IA - binary data model (new)'!$N$222:$N$311</c:f>
              <c:numCache>
                <c:formatCode>0.00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68-49F9-8DF3-1030A5E63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659056"/>
        <c:axId val="1"/>
      </c:scatterChart>
      <c:valAx>
        <c:axId val="1549659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48010029046435077"/>
              <c:y val="0.85924971412965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4.6123172009675618E-2"/>
              <c:y val="0.3932159708728910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4965905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DL to the complete data set</a:t>
            </a:r>
          </a:p>
        </c:rich>
      </c:tx>
      <c:layout>
        <c:manualLayout>
          <c:xMode val="edge"/>
          <c:yMode val="edge"/>
          <c:x val="0.12025711324363446"/>
          <c:y val="3.8561727281692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629467865415893"/>
          <c:y val="0.2827860000657445"/>
          <c:w val="0.68567652288037195"/>
          <c:h val="0.4627407273803091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(new)'!$P$222:$P$311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'IA - binary data model (new)'!$Q$222:$Q$311</c:f>
              <c:numCache>
                <c:formatCode>0.00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7E-4F90-83F9-5F2C9C21F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654592"/>
        <c:axId val="1"/>
      </c:scatterChart>
      <c:valAx>
        <c:axId val="1549654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47469913122487289"/>
              <c:y val="0.861211909291130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4.641502616420979E-2"/>
              <c:y val="0.3984711819108217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4965459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Experimental Design</a:t>
            </a:r>
          </a:p>
        </c:rich>
      </c:tx>
      <c:layout>
        <c:manualLayout>
          <c:xMode val="edge"/>
          <c:yMode val="edge"/>
          <c:x val="0.28105558076982251"/>
          <c:y val="3.81178647382927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222999409706898"/>
          <c:y val="0.14350254960298453"/>
          <c:w val="0.71026449093769106"/>
          <c:h val="0.621096972500417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(new)'!$A$25:$A$219</c:f>
              <c:numCache>
                <c:formatCode>General</c:formatCode>
                <c:ptCount val="195"/>
              </c:numCache>
            </c:numRef>
          </c:xVal>
          <c:yVal>
            <c:numRef>
              <c:f>'IA - binary data model (new)'!$B$25:$B$219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F6-4396-9C37-229109D9D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681872"/>
        <c:axId val="1"/>
      </c:scatterChart>
      <c:valAx>
        <c:axId val="1549681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46188979165273159"/>
              <c:y val="0.887922025668466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1.7429803458593646E-2"/>
              <c:y val="0.28924732654351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4968187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Synergism/Antagonism</a:t>
            </a:r>
          </a:p>
        </c:rich>
      </c:tx>
      <c:layout>
        <c:manualLayout>
          <c:xMode val="edge"/>
          <c:yMode val="edge"/>
          <c:x val="0.27413199843900032"/>
          <c:y val="2.74608804876663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149865473871225"/>
          <c:y val="0.13501599573102646"/>
          <c:w val="0.66449596421613677"/>
          <c:h val="0.64075387804554929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(new)'!$E$40:$E$84</c:f>
              <c:numCache>
                <c:formatCode>0.00</c:formatCode>
                <c:ptCount val="45"/>
                <c:pt idx="0">
                  <c:v>0</c:v>
                </c:pt>
              </c:numCache>
            </c:numRef>
          </c:xVal>
          <c:yVal>
            <c:numRef>
              <c:f>'IA - binary data model (new)'!$J$40:$J$84</c:f>
              <c:numCache>
                <c:formatCode>0.00</c:formatCode>
                <c:ptCount val="45"/>
                <c:pt idx="0">
                  <c:v>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23-4DC7-BFF8-3C608C172593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(new)'!$E$85:$E$129</c:f>
              <c:numCache>
                <c:formatCode>0.00</c:formatCode>
                <c:ptCount val="45"/>
                <c:pt idx="0">
                  <c:v>0</c:v>
                </c:pt>
              </c:numCache>
            </c:numRef>
          </c:xVal>
          <c:yVal>
            <c:numRef>
              <c:f>'IA - binary data model (new)'!$J$85:$J$129</c:f>
              <c:numCache>
                <c:formatCode>0.00</c:formatCode>
                <c:ptCount val="45"/>
                <c:pt idx="0">
                  <c:v>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23-4DC7-BFF8-3C608C172593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(new)'!$E$130:$E$219</c:f>
              <c:numCache>
                <c:formatCode>0.00</c:formatCode>
                <c:ptCount val="90"/>
                <c:pt idx="0">
                  <c:v>0</c:v>
                </c:pt>
              </c:numCache>
            </c:numRef>
          </c:xVal>
          <c:yVal>
            <c:numRef>
              <c:f>'IA - binary data model (new)'!$J$130:$J$219</c:f>
              <c:numCache>
                <c:formatCode>0.00</c:formatCode>
                <c:ptCount val="90"/>
                <c:pt idx="0">
                  <c:v>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23-4DC7-BFF8-3C608C172593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'IA - binary data model (new)'!$T$2:$T$3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'IA - binary data model (new)'!$T$2:$T$3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723-4DC7-BFF8-3C608C172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663520"/>
        <c:axId val="1"/>
      </c:scatterChart>
      <c:valAx>
        <c:axId val="154966352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0001676515273652"/>
              <c:y val="0.87874817560532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4.8247231725264052E-2"/>
              <c:y val="0.386740733534635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4966352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0265849142939294"/>
          <c:y val="0.58354371036291097"/>
          <c:w val="0.18202364696349621"/>
          <c:h val="0.1739189097552205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Residuals of the mixture data after fitting SA to the complete data set</a:t>
            </a:r>
          </a:p>
        </c:rich>
      </c:tx>
      <c:layout>
        <c:manualLayout>
          <c:xMode val="edge"/>
          <c:yMode val="edge"/>
          <c:x val="0.11864784973855236"/>
          <c:y val="3.644773610094981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729569947710472"/>
          <c:y val="0.25513415270664874"/>
          <c:w val="0.68434384759915023"/>
          <c:h val="0.51938023943853495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(new)'!$J$222:$J$311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'IA - binary data model (new)'!$K$222:$K$311</c:f>
              <c:numCache>
                <c:formatCode>0.00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9C-4775-94D1-3B8DF594F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666496"/>
        <c:axId val="1"/>
      </c:scatterChart>
      <c:valAx>
        <c:axId val="1549666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Sum TU50</a:t>
                </a:r>
              </a:p>
            </c:rich>
          </c:tx>
          <c:layout>
            <c:manualLayout>
              <c:xMode val="edge"/>
              <c:yMode val="edge"/>
              <c:x val="0.47459139895420943"/>
              <c:y val="0.877023649929104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4.6611655254431283E-2"/>
              <c:y val="0.4123150146419948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4966649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Ratio Dependent Deviation
</a:t>
            </a:r>
          </a:p>
        </c:rich>
      </c:tx>
      <c:layout>
        <c:manualLayout>
          <c:xMode val="edge"/>
          <c:yMode val="edge"/>
          <c:x val="0.159046956559667"/>
          <c:y val="2.8847104024865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183852298798683"/>
          <c:y val="0.15385122146594987"/>
          <c:w val="0.64054527710331643"/>
          <c:h val="0.58174993116812301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(new)'!$E$40:$E$84</c:f>
              <c:numCache>
                <c:formatCode>0.00</c:formatCode>
                <c:ptCount val="45"/>
                <c:pt idx="0">
                  <c:v>0</c:v>
                </c:pt>
              </c:numCache>
            </c:numRef>
          </c:xVal>
          <c:yVal>
            <c:numRef>
              <c:f>'IA - binary data model (new)'!$M$40:$M$84</c:f>
              <c:numCache>
                <c:formatCode>0.00</c:formatCode>
                <c:ptCount val="45"/>
                <c:pt idx="0">
                  <c:v>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1B-4970-A840-C4188757AD5C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(new)'!$E$85:$E$129</c:f>
              <c:numCache>
                <c:formatCode>0.00</c:formatCode>
                <c:ptCount val="45"/>
                <c:pt idx="0">
                  <c:v>0</c:v>
                </c:pt>
              </c:numCache>
            </c:numRef>
          </c:xVal>
          <c:yVal>
            <c:numRef>
              <c:f>'IA - binary data model (new)'!$M$85:$M$129</c:f>
              <c:numCache>
                <c:formatCode>0.00</c:formatCode>
                <c:ptCount val="45"/>
                <c:pt idx="0">
                  <c:v>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1B-4970-A840-C4188757AD5C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(new)'!$E$130:$E$219</c:f>
              <c:numCache>
                <c:formatCode>0.00</c:formatCode>
                <c:ptCount val="90"/>
                <c:pt idx="0">
                  <c:v>0</c:v>
                </c:pt>
              </c:numCache>
            </c:numRef>
          </c:xVal>
          <c:yVal>
            <c:numRef>
              <c:f>'IA - binary data model (new)'!$M$130:$M$219</c:f>
              <c:numCache>
                <c:formatCode>0.00</c:formatCode>
                <c:ptCount val="90"/>
                <c:pt idx="0">
                  <c:v>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1B-4970-A840-C4188757AD5C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'IA - binary data model (new)'!$T$2:$T$3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'IA - binary data model (new)'!$T$2:$T$3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1B-4970-A840-C4188757A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665008"/>
        <c:axId val="1"/>
      </c:scatterChart>
      <c:valAx>
        <c:axId val="1549665008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0764302573153985"/>
              <c:y val="0.8582013447397516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5.2289410375780936E-2"/>
              <c:y val="0.370204501652441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4966500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0394968452763182"/>
          <c:y val="0.5553067524786629"/>
          <c:w val="0.18083421088290907"/>
          <c:h val="0.182698325490815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Dose Level Dependent Deviation
</a:t>
            </a:r>
          </a:p>
        </c:rich>
      </c:tx>
      <c:layout>
        <c:manualLayout>
          <c:xMode val="edge"/>
          <c:yMode val="edge"/>
          <c:x val="0.1952855434675973"/>
          <c:y val="2.83514676498481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245350333288057"/>
          <c:y val="0.14948955669919914"/>
          <c:w val="0.67598841969552914"/>
          <c:h val="0.60053563294678269"/>
        </c:manualLayout>
      </c:layout>
      <c:scatterChart>
        <c:scatterStyle val="lineMarker"/>
        <c:varyColors val="0"/>
        <c:ser>
          <c:idx val="0"/>
          <c:order val="0"/>
          <c:tx>
            <c:v>Chem 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CC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(new)'!$E$40:$E$84</c:f>
              <c:numCache>
                <c:formatCode>0.00</c:formatCode>
                <c:ptCount val="45"/>
                <c:pt idx="0">
                  <c:v>0</c:v>
                </c:pt>
              </c:numCache>
            </c:numRef>
          </c:xVal>
          <c:yVal>
            <c:numRef>
              <c:f>'IA - binary data model (new)'!$P$40:$P$84</c:f>
              <c:numCache>
                <c:formatCode>0.00</c:formatCode>
                <c:ptCount val="45"/>
                <c:pt idx="0">
                  <c:v>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15-4B5B-9667-FBCDB724F828}"/>
            </c:ext>
          </c:extLst>
        </c:ser>
        <c:ser>
          <c:idx val="1"/>
          <c:order val="1"/>
          <c:tx>
            <c:v>Chem 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CC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(new)'!$E$85:$E$129</c:f>
              <c:numCache>
                <c:formatCode>0.00</c:formatCode>
                <c:ptCount val="45"/>
                <c:pt idx="0">
                  <c:v>0</c:v>
                </c:pt>
              </c:numCache>
            </c:numRef>
          </c:xVal>
          <c:yVal>
            <c:numRef>
              <c:f>'IA - binary data model (new)'!$P$85:$P$129</c:f>
              <c:numCache>
                <c:formatCode>0.00</c:formatCode>
                <c:ptCount val="45"/>
                <c:pt idx="0">
                  <c:v>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15-4B5B-9667-FBCDB724F828}"/>
            </c:ext>
          </c:extLst>
        </c:ser>
        <c:ser>
          <c:idx val="2"/>
          <c:order val="2"/>
          <c:tx>
            <c:v>Mixture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'IA - binary data model (new)'!$E$130:$E$219</c:f>
              <c:numCache>
                <c:formatCode>0.00</c:formatCode>
                <c:ptCount val="90"/>
                <c:pt idx="0">
                  <c:v>0</c:v>
                </c:pt>
              </c:numCache>
            </c:numRef>
          </c:xVal>
          <c:yVal>
            <c:numRef>
              <c:f>'IA - binary data model (new)'!$P$130:$P$219</c:f>
              <c:numCache>
                <c:formatCode>0.00</c:formatCode>
                <c:ptCount val="90"/>
                <c:pt idx="0">
                  <c:v>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15-4B5B-9667-FBCDB724F828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'IA - binary data model (new)'!$T$2:$T$3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'IA - binary data model (new)'!$T$2:$T$3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15-4B5B-9667-FBCDB724F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678400"/>
        <c:axId val="1"/>
      </c:scatterChart>
      <c:valAx>
        <c:axId val="154967840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Data</a:t>
                </a:r>
              </a:p>
            </c:rich>
          </c:tx>
          <c:layout>
            <c:manualLayout>
              <c:xMode val="edge"/>
              <c:yMode val="edge"/>
              <c:x val="0.50216282605953588"/>
              <c:y val="0.86343106024537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4.7211889629529019E-2"/>
              <c:y val="0.373723891747997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4967840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0689411366831409"/>
          <c:y val="0.55929713454700369"/>
          <c:w val="0.17811758360231403"/>
          <c:h val="0.1958828673989505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IA</a:t>
            </a:r>
          </a:p>
        </c:rich>
      </c:tx>
      <c:layout>
        <c:manualLayout>
          <c:xMode val="edge"/>
          <c:yMode val="edge"/>
          <c:x val="0.31684234807611616"/>
          <c:y val="3.76482834524646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60462028720969"/>
          <c:y val="0.20000650584121854"/>
          <c:w val="0.75844137070720308"/>
          <c:h val="0.5859014112289814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'IA - binary data model (new)'!$A$25:$A$84</c:f>
              <c:numCache>
                <c:formatCode>General</c:formatCode>
                <c:ptCount val="60"/>
              </c:numCache>
            </c:numRef>
          </c:xVal>
          <c:yVal>
            <c:numRef>
              <c:f>'IA - binary data model (new)'!$E$25:$E$84</c:f>
              <c:numCache>
                <c:formatCode>0.00</c:formatCode>
                <c:ptCount val="60"/>
                <c:pt idx="0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86-4090-9FA7-E139F4F8CC5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'IA - binary data model (new)'!$AD$4:$AD$16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xVal>
          <c:yVal>
            <c:numRef>
              <c:f>'IA - binary data model (new)'!$AE$4:$AE$16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F86-4090-9FA7-E139F4F8C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669472"/>
        <c:axId val="1"/>
      </c:scatterChart>
      <c:valAx>
        <c:axId val="1549669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50694775692178584"/>
              <c:y val="0.870616554838245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5.1486881562368879E-2"/>
              <c:y val="0.4023660293982161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4966947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IA</a:t>
            </a:r>
          </a:p>
        </c:rich>
      </c:tx>
      <c:layout>
        <c:manualLayout>
          <c:xMode val="edge"/>
          <c:yMode val="edge"/>
          <c:x val="0.310213780450177"/>
          <c:y val="3.74719847083929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490561614487658"/>
          <c:y val="0.21312191302898495"/>
          <c:w val="0.70818540668560148"/>
          <c:h val="0.56910576775871802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('IA - binary data model (new)'!$B$25:$B$39,'IA - binary data model (new)'!$B$85:$B$129)</c:f>
              <c:numCache>
                <c:formatCode>General</c:formatCode>
                <c:ptCount val="60"/>
              </c:numCache>
            </c:numRef>
          </c:xVal>
          <c:yVal>
            <c:numRef>
              <c:f>('IA - binary data model (new)'!$E$25:$E$39,'IA - binary data model (new)'!$E$85:$E$129)</c:f>
              <c:numCache>
                <c:formatCode>0.00</c:formatCode>
                <c:ptCount val="60"/>
                <c:pt idx="0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F8-48DE-B6BA-C5A8640873B0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'IA - binary data model (new)'!$AK$4:$AK$16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xVal>
          <c:yVal>
            <c:numRef>
              <c:f>'IA - binary data model (new)'!$AL$4:$AL$16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F8-48DE-B6BA-C5A864087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656080"/>
        <c:axId val="1"/>
      </c:scatterChart>
      <c:valAx>
        <c:axId val="1549656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2858795484602528"/>
              <c:y val="0.86653964638158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9.5921366323409987E-2"/>
              <c:y val="0.407507833703773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4965608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SA</a:t>
            </a:r>
          </a:p>
        </c:rich>
      </c:tx>
      <c:layout>
        <c:manualLayout>
          <c:xMode val="edge"/>
          <c:yMode val="edge"/>
          <c:x val="0.30100023067231035"/>
          <c:y val="3.653093264637163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802646754757261"/>
          <c:y val="0.1895042131030529"/>
          <c:w val="0.73467819460149442"/>
          <c:h val="0.6027603886651320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'IA - binary data model (new)'!$A$25:$A$84</c:f>
              <c:numCache>
                <c:formatCode>General</c:formatCode>
                <c:ptCount val="60"/>
              </c:numCache>
            </c:numRef>
          </c:xVal>
          <c:yVal>
            <c:numRef>
              <c:f>'IA - binary data model (new)'!$E$25:$E$84</c:f>
              <c:numCache>
                <c:formatCode>0.00</c:formatCode>
                <c:ptCount val="60"/>
                <c:pt idx="0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57-496F-ACCA-354583F42A3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'IA - binary data model (new)'!$AD$20:$AD$32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xVal>
          <c:yVal>
            <c:numRef>
              <c:f>'IA - binary data model (new)'!$AE$20:$AE$32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57-496F-ACCA-354583F42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666000"/>
        <c:axId val="1"/>
      </c:scatterChart>
      <c:valAx>
        <c:axId val="1549666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49308590419345583"/>
              <c:y val="0.8835919333841141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4.3565822860465973E-2"/>
              <c:y val="0.4018402591100880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4966600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SA</a:t>
            </a:r>
          </a:p>
        </c:rich>
      </c:tx>
      <c:layout>
        <c:manualLayout>
          <c:xMode val="edge"/>
          <c:yMode val="edge"/>
          <c:x val="0.29279328797241927"/>
          <c:y val="3.85499399560270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887362651365167"/>
          <c:y val="0.19728498683378543"/>
          <c:w val="0.69486857779369915"/>
          <c:h val="0.55557266407215433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('IA - binary data model (new)'!$B$25:$B$39,'IA - binary data model (new)'!$B$85:$B$129)</c:f>
              <c:numCache>
                <c:formatCode>General</c:formatCode>
                <c:ptCount val="60"/>
              </c:numCache>
            </c:numRef>
          </c:xVal>
          <c:yVal>
            <c:numRef>
              <c:f>('IA - binary data model (new)'!$E$25:$E$39,'IA - binary data model (new)'!$E$85:$E$129)</c:f>
              <c:numCache>
                <c:formatCode>0.00</c:formatCode>
                <c:ptCount val="60"/>
                <c:pt idx="0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EC-42BA-8A2F-711048F35A66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'IA - binary data model (new)'!$AK$20:$AK$32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xVal>
          <c:yVal>
            <c:numRef>
              <c:f>'IA - binary data model (new)'!$AL$20:$AL$32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EC-42BA-8A2F-711048F35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674432"/>
        <c:axId val="1"/>
      </c:scatterChart>
      <c:valAx>
        <c:axId val="1549674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0104766885421037"/>
              <c:y val="0.843563391978944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8043510585139688E-2"/>
              <c:y val="0.3854993995602703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4967443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DR</a:t>
            </a:r>
          </a:p>
        </c:rich>
      </c:tx>
      <c:layout>
        <c:manualLayout>
          <c:xMode val="edge"/>
          <c:yMode val="edge"/>
          <c:x val="0.30556571328157645"/>
          <c:y val="3.89308221400635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49832962175173"/>
          <c:y val="0.18492140516530198"/>
          <c:w val="0.74407235377007253"/>
          <c:h val="0.6131604487060012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'IA - binary data model (new)'!$A$25:$A$84</c:f>
              <c:numCache>
                <c:formatCode>General</c:formatCode>
                <c:ptCount val="60"/>
              </c:numCache>
            </c:numRef>
          </c:xVal>
          <c:yVal>
            <c:numRef>
              <c:f>'IA - binary data model (new)'!$E$25:$E$84</c:f>
              <c:numCache>
                <c:formatCode>0.00</c:formatCode>
                <c:ptCount val="60"/>
                <c:pt idx="0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8-491B-AD0D-15D250BEEF2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'IA - binary data model (new)'!$AD$37:$AD$49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 formatCode="0.00">
                  <c:v>0</c:v>
                </c:pt>
              </c:numCache>
            </c:numRef>
          </c:xVal>
          <c:yVal>
            <c:numRef>
              <c:f>'IA - binary data model (new)'!$AE$37:$AE$49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 formatCode="0.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68-491B-AD0D-15D250BEE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679392"/>
        <c:axId val="1"/>
      </c:scatterChart>
      <c:valAx>
        <c:axId val="1549679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49207984995994131"/>
              <c:y val="0.8856762036864463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4.3652244754510926E-2"/>
              <c:y val="0.3990409269356516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4967939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1 dose response DL</a:t>
            </a:r>
          </a:p>
        </c:rich>
      </c:tx>
      <c:layout>
        <c:manualLayout>
          <c:xMode val="edge"/>
          <c:yMode val="edge"/>
          <c:x val="0.3096753937114281"/>
          <c:y val="4.092215979036884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738320001646921"/>
          <c:y val="0.19182262401735395"/>
          <c:w val="0.74558789059184594"/>
          <c:h val="0.59592895194724627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'IA - binary data model (new)'!$A$25:$A$84</c:f>
              <c:numCache>
                <c:formatCode>General</c:formatCode>
                <c:ptCount val="60"/>
              </c:numCache>
            </c:numRef>
          </c:xVal>
          <c:yVal>
            <c:numRef>
              <c:f>'IA - binary data model (new)'!$E$25:$E$84</c:f>
              <c:numCache>
                <c:formatCode>0.00</c:formatCode>
                <c:ptCount val="60"/>
                <c:pt idx="0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FE-4F16-ADC2-3573E50D6B74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'IA - binary data model (new)'!$AD$54:$AD$66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 formatCode="0.00">
                  <c:v>0</c:v>
                </c:pt>
              </c:numCache>
            </c:numRef>
          </c:xVal>
          <c:yVal>
            <c:numRef>
              <c:f>'IA - binary data model (new)'!$AE$54:$AE$66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 formatCode="0.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FE-4F16-ADC2-3573E50D6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671456"/>
        <c:axId val="1"/>
      </c:scatterChart>
      <c:valAx>
        <c:axId val="1549671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1]</a:t>
                </a:r>
              </a:p>
            </c:rich>
          </c:tx>
          <c:layout>
            <c:manualLayout>
              <c:xMode val="edge"/>
              <c:yMode val="edge"/>
              <c:x val="0.49311368425386637"/>
              <c:y val="0.879826435492930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4.339400421434024E-2"/>
              <c:y val="0.3913181529954020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4967145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DR</a:t>
            </a:r>
          </a:p>
        </c:rich>
      </c:tx>
      <c:layout>
        <c:manualLayout>
          <c:xMode val="edge"/>
          <c:yMode val="edge"/>
          <c:x val="0.29669000302019732"/>
          <c:y val="3.931334812822788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784930291692811"/>
          <c:y val="0.19902382489915366"/>
          <c:w val="0.70749154566354744"/>
          <c:h val="0.55284395805320463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('IA - binary data model (new)'!$B$25:$B$39,'IA - binary data model (new)'!$B$85:$B$129)</c:f>
              <c:numCache>
                <c:formatCode>General</c:formatCode>
                <c:ptCount val="60"/>
              </c:numCache>
            </c:numRef>
          </c:xVal>
          <c:yVal>
            <c:numRef>
              <c:f>('IA - binary data model (new)'!$E$25:$E$39,'IA - binary data model (new)'!$E$85:$E$129)</c:f>
              <c:numCache>
                <c:formatCode>0.00</c:formatCode>
                <c:ptCount val="60"/>
                <c:pt idx="0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8C-4314-9A3B-C583333CC500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'IA - binary data model (new)'!$AK$38:$AK$50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 formatCode="0.00">
                  <c:v>0</c:v>
                </c:pt>
              </c:numCache>
            </c:numRef>
          </c:xVal>
          <c:yVal>
            <c:numRef>
              <c:f>'IA - binary data model (new)'!$AL$38:$AL$50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 formatCode="0.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8C-4314-9A3B-C583333CC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672944"/>
        <c:axId val="1"/>
      </c:scatterChart>
      <c:valAx>
        <c:axId val="1549672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0001601907599691"/>
              <c:y val="0.84032281624087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6392168508016186E-2"/>
              <c:y val="0.3808480599922076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4967294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Chem 2 dose response DL</a:t>
            </a:r>
          </a:p>
        </c:rich>
      </c:tx>
      <c:layout>
        <c:manualLayout>
          <c:xMode val="edge"/>
          <c:yMode val="edge"/>
          <c:x val="0.2995966565503444"/>
          <c:y val="4.102706643265913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694930301921492"/>
          <c:y val="0.21282790711941926"/>
          <c:w val="0.70663487269115721"/>
          <c:h val="0.53078767197252763"/>
        </c:manualLayout>
      </c:layout>
      <c:scatterChart>
        <c:scatterStyle val="lineMarker"/>
        <c:varyColors val="0"/>
        <c:ser>
          <c:idx val="1"/>
          <c:order val="0"/>
          <c:tx>
            <c:v>Ni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333399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('IA - binary data model (new)'!$B$25:$B$39,'IA - binary data model (new)'!$B$85:$B$129)</c:f>
              <c:numCache>
                <c:formatCode>General</c:formatCode>
                <c:ptCount val="60"/>
              </c:numCache>
            </c:numRef>
          </c:xVal>
          <c:yVal>
            <c:numRef>
              <c:f>('IA - binary data model (new)'!$E$25:$E$39,'IA - binary data model (new)'!$E$85:$E$129)</c:f>
              <c:numCache>
                <c:formatCode>0.00</c:formatCode>
                <c:ptCount val="60"/>
                <c:pt idx="0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DF-48B3-AA54-56F84FF0DD1C}"/>
            </c:ext>
          </c:extLst>
        </c:ser>
        <c:ser>
          <c:idx val="0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'IA - binary data model (new)'!$AK$54:$AK$66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 formatCode="0.00">
                  <c:v>0</c:v>
                </c:pt>
              </c:numCache>
            </c:numRef>
          </c:xVal>
          <c:yVal>
            <c:numRef>
              <c:f>'IA - binary data model (new)'!$AL$54:$AL$66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 formatCode="0.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DF-48B3-AA54-56F84FF0D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661040"/>
        <c:axId val="1"/>
      </c:scatterChart>
      <c:valAx>
        <c:axId val="1549661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[Chem 2]</a:t>
                </a:r>
              </a:p>
            </c:rich>
          </c:tx>
          <c:layout>
            <c:manualLayout>
              <c:xMode val="edge"/>
              <c:yMode val="edge"/>
              <c:x val="0.50001648886333339"/>
              <c:y val="0.83592647856542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6117882824903593E-2"/>
              <c:y val="0.3795003645020970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54966104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" Type="http://schemas.openxmlformats.org/officeDocument/2006/relationships/chart" Target="../charts/chart19.xml"/><Relationship Id="rId16" Type="http://schemas.openxmlformats.org/officeDocument/2006/relationships/chart" Target="../charts/chart33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2.xml"/><Relationship Id="rId13" Type="http://schemas.openxmlformats.org/officeDocument/2006/relationships/chart" Target="../charts/chart47.xml"/><Relationship Id="rId3" Type="http://schemas.openxmlformats.org/officeDocument/2006/relationships/chart" Target="../charts/chart37.xml"/><Relationship Id="rId7" Type="http://schemas.openxmlformats.org/officeDocument/2006/relationships/chart" Target="../charts/chart41.xml"/><Relationship Id="rId12" Type="http://schemas.openxmlformats.org/officeDocument/2006/relationships/chart" Target="../charts/chart46.xml"/><Relationship Id="rId17" Type="http://schemas.openxmlformats.org/officeDocument/2006/relationships/chart" Target="../charts/chart51.xml"/><Relationship Id="rId2" Type="http://schemas.openxmlformats.org/officeDocument/2006/relationships/chart" Target="../charts/chart36.xml"/><Relationship Id="rId16" Type="http://schemas.openxmlformats.org/officeDocument/2006/relationships/chart" Target="../charts/chart50.xml"/><Relationship Id="rId1" Type="http://schemas.openxmlformats.org/officeDocument/2006/relationships/chart" Target="../charts/chart35.xml"/><Relationship Id="rId6" Type="http://schemas.openxmlformats.org/officeDocument/2006/relationships/chart" Target="../charts/chart40.xml"/><Relationship Id="rId11" Type="http://schemas.openxmlformats.org/officeDocument/2006/relationships/chart" Target="../charts/chart45.xml"/><Relationship Id="rId5" Type="http://schemas.openxmlformats.org/officeDocument/2006/relationships/chart" Target="../charts/chart39.xml"/><Relationship Id="rId15" Type="http://schemas.openxmlformats.org/officeDocument/2006/relationships/chart" Target="../charts/chart49.xml"/><Relationship Id="rId10" Type="http://schemas.openxmlformats.org/officeDocument/2006/relationships/chart" Target="../charts/chart44.xml"/><Relationship Id="rId4" Type="http://schemas.openxmlformats.org/officeDocument/2006/relationships/chart" Target="../charts/chart38.xml"/><Relationship Id="rId9" Type="http://schemas.openxmlformats.org/officeDocument/2006/relationships/chart" Target="../charts/chart43.xml"/><Relationship Id="rId14" Type="http://schemas.openxmlformats.org/officeDocument/2006/relationships/chart" Target="../charts/chart48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9.xml"/><Relationship Id="rId13" Type="http://schemas.openxmlformats.org/officeDocument/2006/relationships/chart" Target="../charts/chart64.xml"/><Relationship Id="rId3" Type="http://schemas.openxmlformats.org/officeDocument/2006/relationships/chart" Target="../charts/chart54.xml"/><Relationship Id="rId7" Type="http://schemas.openxmlformats.org/officeDocument/2006/relationships/chart" Target="../charts/chart58.xml"/><Relationship Id="rId12" Type="http://schemas.openxmlformats.org/officeDocument/2006/relationships/chart" Target="../charts/chart63.xml"/><Relationship Id="rId17" Type="http://schemas.openxmlformats.org/officeDocument/2006/relationships/chart" Target="../charts/chart68.xml"/><Relationship Id="rId2" Type="http://schemas.openxmlformats.org/officeDocument/2006/relationships/chart" Target="../charts/chart53.xml"/><Relationship Id="rId16" Type="http://schemas.openxmlformats.org/officeDocument/2006/relationships/chart" Target="../charts/chart67.xml"/><Relationship Id="rId1" Type="http://schemas.openxmlformats.org/officeDocument/2006/relationships/chart" Target="../charts/chart52.xml"/><Relationship Id="rId6" Type="http://schemas.openxmlformats.org/officeDocument/2006/relationships/chart" Target="../charts/chart57.xml"/><Relationship Id="rId11" Type="http://schemas.openxmlformats.org/officeDocument/2006/relationships/chart" Target="../charts/chart62.xml"/><Relationship Id="rId5" Type="http://schemas.openxmlformats.org/officeDocument/2006/relationships/chart" Target="../charts/chart56.xml"/><Relationship Id="rId15" Type="http://schemas.openxmlformats.org/officeDocument/2006/relationships/chart" Target="../charts/chart66.xml"/><Relationship Id="rId10" Type="http://schemas.openxmlformats.org/officeDocument/2006/relationships/chart" Target="../charts/chart61.xml"/><Relationship Id="rId4" Type="http://schemas.openxmlformats.org/officeDocument/2006/relationships/chart" Target="../charts/chart55.xml"/><Relationship Id="rId9" Type="http://schemas.openxmlformats.org/officeDocument/2006/relationships/chart" Target="../charts/chart60.xml"/><Relationship Id="rId14" Type="http://schemas.openxmlformats.org/officeDocument/2006/relationships/chart" Target="../charts/chart6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50800</xdr:colOff>
      <xdr:row>25</xdr:row>
      <xdr:rowOff>0</xdr:rowOff>
    </xdr:from>
    <xdr:to>
      <xdr:col>17</xdr:col>
      <xdr:colOff>38100</xdr:colOff>
      <xdr:row>31</xdr:row>
      <xdr:rowOff>49851</xdr:rowOff>
    </xdr:to>
    <xdr:sp macro="" textlink="">
      <xdr:nvSpPr>
        <xdr:cNvPr id="10260" name="Text Box 20">
          <a:extLst>
            <a:ext uri="{FF2B5EF4-FFF2-40B4-BE49-F238E27FC236}">
              <a16:creationId xmlns:a16="http://schemas.microsoft.com/office/drawing/2014/main" id="{D4788F6B-A1D1-ABE4-BAC5-20937DFB2545}"/>
            </a:ext>
          </a:extLst>
        </xdr:cNvPr>
        <xdr:cNvSpPr txBox="1">
          <a:spLocks noChangeArrowheads="1"/>
        </xdr:cNvSpPr>
      </xdr:nvSpPr>
      <xdr:spPr bwMode="auto">
        <a:xfrm>
          <a:off x="8413750" y="4235450"/>
          <a:ext cx="596900" cy="9969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>
    <xdr:from>
      <xdr:col>17</xdr:col>
      <xdr:colOff>184150</xdr:colOff>
      <xdr:row>1</xdr:row>
      <xdr:rowOff>0</xdr:rowOff>
    </xdr:from>
    <xdr:to>
      <xdr:col>21</xdr:col>
      <xdr:colOff>590550</xdr:colOff>
      <xdr:row>16</xdr:row>
      <xdr:rowOff>133350</xdr:rowOff>
    </xdr:to>
    <xdr:graphicFrame macro="">
      <xdr:nvGraphicFramePr>
        <xdr:cNvPr id="10241" name="Chart 1">
          <a:extLst>
            <a:ext uri="{FF2B5EF4-FFF2-40B4-BE49-F238E27FC236}">
              <a16:creationId xmlns:a16="http://schemas.microsoft.com/office/drawing/2014/main" id="{2C2BF9B1-5315-A5FB-D765-46DFE0B4A7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76200</xdr:colOff>
      <xdr:row>1</xdr:row>
      <xdr:rowOff>0</xdr:rowOff>
    </xdr:from>
    <xdr:to>
      <xdr:col>27</xdr:col>
      <xdr:colOff>0</xdr:colOff>
      <xdr:row>16</xdr:row>
      <xdr:rowOff>114300</xdr:rowOff>
    </xdr:to>
    <xdr:graphicFrame macro="">
      <xdr:nvGraphicFramePr>
        <xdr:cNvPr id="10242" name="Chart 2">
          <a:extLst>
            <a:ext uri="{FF2B5EF4-FFF2-40B4-BE49-F238E27FC236}">
              <a16:creationId xmlns:a16="http://schemas.microsoft.com/office/drawing/2014/main" id="{620EE57B-00B0-FB97-6C46-D2369FC390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88900</xdr:colOff>
      <xdr:row>40</xdr:row>
      <xdr:rowOff>101600</xdr:rowOff>
    </xdr:from>
    <xdr:to>
      <xdr:col>26</xdr:col>
      <xdr:colOff>603250</xdr:colOff>
      <xdr:row>57</xdr:row>
      <xdr:rowOff>19050</xdr:rowOff>
    </xdr:to>
    <xdr:graphicFrame macro="">
      <xdr:nvGraphicFramePr>
        <xdr:cNvPr id="10243" name="Chart 3">
          <a:extLst>
            <a:ext uri="{FF2B5EF4-FFF2-40B4-BE49-F238E27FC236}">
              <a16:creationId xmlns:a16="http://schemas.microsoft.com/office/drawing/2014/main" id="{9FE8E972-6A95-6199-C664-C700A064DE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107950</xdr:colOff>
      <xdr:row>57</xdr:row>
      <xdr:rowOff>152400</xdr:rowOff>
    </xdr:from>
    <xdr:to>
      <xdr:col>26</xdr:col>
      <xdr:colOff>603250</xdr:colOff>
      <xdr:row>73</xdr:row>
      <xdr:rowOff>82550</xdr:rowOff>
    </xdr:to>
    <xdr:graphicFrame macro="">
      <xdr:nvGraphicFramePr>
        <xdr:cNvPr id="10244" name="Chart 4">
          <a:extLst>
            <a:ext uri="{FF2B5EF4-FFF2-40B4-BE49-F238E27FC236}">
              <a16:creationId xmlns:a16="http://schemas.microsoft.com/office/drawing/2014/main" id="{BE11FF74-47D5-700E-5AD2-561BD2E828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152400</xdr:colOff>
      <xdr:row>74</xdr:row>
      <xdr:rowOff>6350</xdr:rowOff>
    </xdr:from>
    <xdr:to>
      <xdr:col>21</xdr:col>
      <xdr:colOff>590550</xdr:colOff>
      <xdr:row>91</xdr:row>
      <xdr:rowOff>139700</xdr:rowOff>
    </xdr:to>
    <xdr:graphicFrame macro="">
      <xdr:nvGraphicFramePr>
        <xdr:cNvPr id="10245" name="Chart 5">
          <a:extLst>
            <a:ext uri="{FF2B5EF4-FFF2-40B4-BE49-F238E27FC236}">
              <a16:creationId xmlns:a16="http://schemas.microsoft.com/office/drawing/2014/main" id="{18F3AA81-BB42-FAA3-FCFD-14F2AEF651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184150</xdr:colOff>
      <xdr:row>17</xdr:row>
      <xdr:rowOff>88900</xdr:rowOff>
    </xdr:from>
    <xdr:to>
      <xdr:col>21</xdr:col>
      <xdr:colOff>603250</xdr:colOff>
      <xdr:row>39</xdr:row>
      <xdr:rowOff>139700</xdr:rowOff>
    </xdr:to>
    <xdr:graphicFrame macro="">
      <xdr:nvGraphicFramePr>
        <xdr:cNvPr id="10246" name="Chart 6">
          <a:extLst>
            <a:ext uri="{FF2B5EF4-FFF2-40B4-BE49-F238E27FC236}">
              <a16:creationId xmlns:a16="http://schemas.microsoft.com/office/drawing/2014/main" id="{763503A5-CD2A-9984-788F-599680A58B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107950</xdr:colOff>
      <xdr:row>17</xdr:row>
      <xdr:rowOff>88900</xdr:rowOff>
    </xdr:from>
    <xdr:to>
      <xdr:col>26</xdr:col>
      <xdr:colOff>590550</xdr:colOff>
      <xdr:row>39</xdr:row>
      <xdr:rowOff>152400</xdr:rowOff>
    </xdr:to>
    <xdr:graphicFrame macro="">
      <xdr:nvGraphicFramePr>
        <xdr:cNvPr id="10247" name="Chart 7">
          <a:extLst>
            <a:ext uri="{FF2B5EF4-FFF2-40B4-BE49-F238E27FC236}">
              <a16:creationId xmlns:a16="http://schemas.microsoft.com/office/drawing/2014/main" id="{B7DDD99D-9CFC-88CB-61A4-81A26D5D1E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152400</xdr:colOff>
      <xdr:row>40</xdr:row>
      <xdr:rowOff>82550</xdr:rowOff>
    </xdr:from>
    <xdr:to>
      <xdr:col>21</xdr:col>
      <xdr:colOff>590550</xdr:colOff>
      <xdr:row>57</xdr:row>
      <xdr:rowOff>25400</xdr:rowOff>
    </xdr:to>
    <xdr:graphicFrame macro="">
      <xdr:nvGraphicFramePr>
        <xdr:cNvPr id="10248" name="Chart 8">
          <a:extLst>
            <a:ext uri="{FF2B5EF4-FFF2-40B4-BE49-F238E27FC236}">
              <a16:creationId xmlns:a16="http://schemas.microsoft.com/office/drawing/2014/main" id="{4E37539C-B2CC-C759-6C72-7AEEB95719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127000</xdr:colOff>
      <xdr:row>58</xdr:row>
      <xdr:rowOff>0</xdr:rowOff>
    </xdr:from>
    <xdr:to>
      <xdr:col>22</xdr:col>
      <xdr:colOff>0</xdr:colOff>
      <xdr:row>73</xdr:row>
      <xdr:rowOff>82550</xdr:rowOff>
    </xdr:to>
    <xdr:graphicFrame macro="">
      <xdr:nvGraphicFramePr>
        <xdr:cNvPr id="10249" name="Chart 9">
          <a:extLst>
            <a:ext uri="{FF2B5EF4-FFF2-40B4-BE49-F238E27FC236}">
              <a16:creationId xmlns:a16="http://schemas.microsoft.com/office/drawing/2014/main" id="{0B111DF2-9B63-71A5-1AC4-E8B44246A9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69850</xdr:colOff>
      <xdr:row>1</xdr:row>
      <xdr:rowOff>12700</xdr:rowOff>
    </xdr:from>
    <xdr:to>
      <xdr:col>32</xdr:col>
      <xdr:colOff>323850</xdr:colOff>
      <xdr:row>16</xdr:row>
      <xdr:rowOff>95250</xdr:rowOff>
    </xdr:to>
    <xdr:graphicFrame macro="">
      <xdr:nvGraphicFramePr>
        <xdr:cNvPr id="10250" name="Chart 10">
          <a:extLst>
            <a:ext uri="{FF2B5EF4-FFF2-40B4-BE49-F238E27FC236}">
              <a16:creationId xmlns:a16="http://schemas.microsoft.com/office/drawing/2014/main" id="{0E77F898-10AF-1C2B-CAA0-B4BE34710A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33</xdr:col>
      <xdr:colOff>0</xdr:colOff>
      <xdr:row>1</xdr:row>
      <xdr:rowOff>12700</xdr:rowOff>
    </xdr:from>
    <xdr:to>
      <xdr:col>39</xdr:col>
      <xdr:colOff>184150</xdr:colOff>
      <xdr:row>16</xdr:row>
      <xdr:rowOff>107950</xdr:rowOff>
    </xdr:to>
    <xdr:graphicFrame macro="">
      <xdr:nvGraphicFramePr>
        <xdr:cNvPr id="10251" name="Chart 11">
          <a:extLst>
            <a:ext uri="{FF2B5EF4-FFF2-40B4-BE49-F238E27FC236}">
              <a16:creationId xmlns:a16="http://schemas.microsoft.com/office/drawing/2014/main" id="{7A5024DF-0802-FB3F-96AE-1098F04BF6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27</xdr:col>
      <xdr:colOff>69850</xdr:colOff>
      <xdr:row>17</xdr:row>
      <xdr:rowOff>107950</xdr:rowOff>
    </xdr:from>
    <xdr:to>
      <xdr:col>32</xdr:col>
      <xdr:colOff>323850</xdr:colOff>
      <xdr:row>40</xdr:row>
      <xdr:rowOff>6350</xdr:rowOff>
    </xdr:to>
    <xdr:graphicFrame macro="">
      <xdr:nvGraphicFramePr>
        <xdr:cNvPr id="10252" name="Chart 12">
          <a:extLst>
            <a:ext uri="{FF2B5EF4-FFF2-40B4-BE49-F238E27FC236}">
              <a16:creationId xmlns:a16="http://schemas.microsoft.com/office/drawing/2014/main" id="{33951B1E-3ABE-7198-7339-8BB9D1161D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33</xdr:col>
      <xdr:colOff>0</xdr:colOff>
      <xdr:row>17</xdr:row>
      <xdr:rowOff>107950</xdr:rowOff>
    </xdr:from>
    <xdr:to>
      <xdr:col>39</xdr:col>
      <xdr:colOff>152400</xdr:colOff>
      <xdr:row>40</xdr:row>
      <xdr:rowOff>25400</xdr:rowOff>
    </xdr:to>
    <xdr:graphicFrame macro="">
      <xdr:nvGraphicFramePr>
        <xdr:cNvPr id="10253" name="Chart 13">
          <a:extLst>
            <a:ext uri="{FF2B5EF4-FFF2-40B4-BE49-F238E27FC236}">
              <a16:creationId xmlns:a16="http://schemas.microsoft.com/office/drawing/2014/main" id="{68FC30B1-E608-6BC0-BF6D-E475581BAA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69850</xdr:colOff>
      <xdr:row>40</xdr:row>
      <xdr:rowOff>114300</xdr:rowOff>
    </xdr:from>
    <xdr:to>
      <xdr:col>32</xdr:col>
      <xdr:colOff>317500</xdr:colOff>
      <xdr:row>57</xdr:row>
      <xdr:rowOff>25400</xdr:rowOff>
    </xdr:to>
    <xdr:graphicFrame macro="">
      <xdr:nvGraphicFramePr>
        <xdr:cNvPr id="10254" name="Chart 14">
          <a:extLst>
            <a:ext uri="{FF2B5EF4-FFF2-40B4-BE49-F238E27FC236}">
              <a16:creationId xmlns:a16="http://schemas.microsoft.com/office/drawing/2014/main" id="{17A04DE5-CA6F-E023-6C7D-2C57C21DAD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27</xdr:col>
      <xdr:colOff>69850</xdr:colOff>
      <xdr:row>57</xdr:row>
      <xdr:rowOff>139700</xdr:rowOff>
    </xdr:from>
    <xdr:to>
      <xdr:col>32</xdr:col>
      <xdr:colOff>336550</xdr:colOff>
      <xdr:row>73</xdr:row>
      <xdr:rowOff>82550</xdr:rowOff>
    </xdr:to>
    <xdr:graphicFrame macro="">
      <xdr:nvGraphicFramePr>
        <xdr:cNvPr id="10255" name="Chart 15">
          <a:extLst>
            <a:ext uri="{FF2B5EF4-FFF2-40B4-BE49-F238E27FC236}">
              <a16:creationId xmlns:a16="http://schemas.microsoft.com/office/drawing/2014/main" id="{B695AF7C-45B9-8E46-5996-2B316D7CEC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33</xdr:col>
      <xdr:colOff>12700</xdr:colOff>
      <xdr:row>40</xdr:row>
      <xdr:rowOff>139700</xdr:rowOff>
    </xdr:from>
    <xdr:to>
      <xdr:col>39</xdr:col>
      <xdr:colOff>146050</xdr:colOff>
      <xdr:row>57</xdr:row>
      <xdr:rowOff>25400</xdr:rowOff>
    </xdr:to>
    <xdr:graphicFrame macro="">
      <xdr:nvGraphicFramePr>
        <xdr:cNvPr id="10256" name="Chart 16">
          <a:extLst>
            <a:ext uri="{FF2B5EF4-FFF2-40B4-BE49-F238E27FC236}">
              <a16:creationId xmlns:a16="http://schemas.microsoft.com/office/drawing/2014/main" id="{D8B49F90-BAB1-11A5-4064-01B5DFB7E8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33</xdr:col>
      <xdr:colOff>0</xdr:colOff>
      <xdr:row>58</xdr:row>
      <xdr:rowOff>6350</xdr:rowOff>
    </xdr:from>
    <xdr:to>
      <xdr:col>39</xdr:col>
      <xdr:colOff>146050</xdr:colOff>
      <xdr:row>73</xdr:row>
      <xdr:rowOff>101600</xdr:rowOff>
    </xdr:to>
    <xdr:graphicFrame macro="">
      <xdr:nvGraphicFramePr>
        <xdr:cNvPr id="10257" name="Chart 17">
          <a:extLst>
            <a:ext uri="{FF2B5EF4-FFF2-40B4-BE49-F238E27FC236}">
              <a16:creationId xmlns:a16="http://schemas.microsoft.com/office/drawing/2014/main" id="{92573CA9-B027-3BE2-3556-6FD54E5BF2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16</xdr:col>
      <xdr:colOff>50800</xdr:colOff>
      <xdr:row>135</xdr:row>
      <xdr:rowOff>44450</xdr:rowOff>
    </xdr:from>
    <xdr:ext cx="9304342" cy="1207510"/>
    <xdr:sp macro="" textlink="">
      <xdr:nvSpPr>
        <xdr:cNvPr id="10261" name="Text Box 21">
          <a:extLst>
            <a:ext uri="{FF2B5EF4-FFF2-40B4-BE49-F238E27FC236}">
              <a16:creationId xmlns:a16="http://schemas.microsoft.com/office/drawing/2014/main" id="{BA3BDA76-AC66-BA03-A034-0C8E76D54695}"/>
            </a:ext>
          </a:extLst>
        </xdr:cNvPr>
        <xdr:cNvSpPr txBox="1">
          <a:spLocks noChangeArrowheads="1"/>
        </xdr:cNvSpPr>
      </xdr:nvSpPr>
      <xdr:spPr bwMode="auto">
        <a:xfrm>
          <a:off x="8432800" y="21261917"/>
          <a:ext cx="9304342" cy="120751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wrap="none" lIns="18288" tIns="27432" rIns="0" bIns="0" anchor="t" upright="1">
          <a:spAutoFit/>
        </a:bodyPr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MORE CELLS??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Please note: To add more cells to allow more data points - follow these points!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1) Under the "tools" menu find "protection" and select "unprotect sheet"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select the number of cells (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full width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and 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within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(i.e. not below) of the coloured area (grey, blue, green or yellow)  X as many rows as are needed)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right click and select "Insert"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3) When asked, please select "shift cells down"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4) </a:t>
          </a:r>
          <a:r>
            <a:rPr lang="en-NL" sz="1000" b="1" i="0" u="sng" strike="noStrike" baseline="0">
              <a:solidFill>
                <a:srgbClr val="FF0000"/>
              </a:solidFill>
              <a:latin typeface="Arial"/>
              <a:cs typeface="Arial"/>
            </a:rPr>
            <a:t>RE-PROTECT THE SHEET 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- Under the "tools" menu find "protection" and select "protect sheet" leaving the password field empty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This will ensure that formulars are automatically extended and updated</a:t>
          </a:r>
        </a:p>
      </xdr:txBody>
    </xdr:sp>
    <xdr:clientData/>
  </xdr:oneCellAnchor>
  <xdr:twoCellAnchor editAs="oneCell">
    <xdr:from>
      <xdr:col>16</xdr:col>
      <xdr:colOff>50800</xdr:colOff>
      <xdr:row>45</xdr:row>
      <xdr:rowOff>0</xdr:rowOff>
    </xdr:from>
    <xdr:to>
      <xdr:col>17</xdr:col>
      <xdr:colOff>38100</xdr:colOff>
      <xdr:row>51</xdr:row>
      <xdr:rowOff>48490</xdr:rowOff>
    </xdr:to>
    <xdr:sp macro="" textlink="">
      <xdr:nvSpPr>
        <xdr:cNvPr id="10262" name="Text Box 22">
          <a:extLst>
            <a:ext uri="{FF2B5EF4-FFF2-40B4-BE49-F238E27FC236}">
              <a16:creationId xmlns:a16="http://schemas.microsoft.com/office/drawing/2014/main" id="{6ED0001B-F5F4-B29B-981C-C3069F322D6A}"/>
            </a:ext>
          </a:extLst>
        </xdr:cNvPr>
        <xdr:cNvSpPr txBox="1">
          <a:spLocks noChangeArrowheads="1"/>
        </xdr:cNvSpPr>
      </xdr:nvSpPr>
      <xdr:spPr bwMode="auto">
        <a:xfrm>
          <a:off x="8413750" y="6616700"/>
          <a:ext cx="596900" cy="9969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 editAs="oneCell">
    <xdr:from>
      <xdr:col>16</xdr:col>
      <xdr:colOff>50800</xdr:colOff>
      <xdr:row>90</xdr:row>
      <xdr:rowOff>0</xdr:rowOff>
    </xdr:from>
    <xdr:to>
      <xdr:col>17</xdr:col>
      <xdr:colOff>38100</xdr:colOff>
      <xdr:row>96</xdr:row>
      <xdr:rowOff>48490</xdr:rowOff>
    </xdr:to>
    <xdr:sp macro="" textlink="">
      <xdr:nvSpPr>
        <xdr:cNvPr id="10263" name="Text Box 23">
          <a:extLst>
            <a:ext uri="{FF2B5EF4-FFF2-40B4-BE49-F238E27FC236}">
              <a16:creationId xmlns:a16="http://schemas.microsoft.com/office/drawing/2014/main" id="{DF600692-354C-A183-D190-955AD993B509}"/>
            </a:ext>
          </a:extLst>
        </xdr:cNvPr>
        <xdr:cNvSpPr txBox="1">
          <a:spLocks noChangeArrowheads="1"/>
        </xdr:cNvSpPr>
      </xdr:nvSpPr>
      <xdr:spPr bwMode="auto">
        <a:xfrm>
          <a:off x="8413750" y="13760450"/>
          <a:ext cx="596900" cy="9969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0.48549</cdr:x>
      <cdr:y>0.50457</cdr:y>
    </cdr:from>
    <cdr:to>
      <cdr:x>0.54112</cdr:x>
      <cdr:y>0.56666</cdr:y>
    </cdr:to>
    <cdr:sp macro="" textlink="">
      <cdr:nvSpPr>
        <cdr:cNvPr id="14337" name="Text Box 1">
          <a:extLst xmlns:a="http://schemas.openxmlformats.org/drawingml/2006/main">
            <a:ext uri="{FF2B5EF4-FFF2-40B4-BE49-F238E27FC236}">
              <a16:creationId xmlns:a16="http://schemas.microsoft.com/office/drawing/2014/main" id="{47DA12EE-404C-5E9A-7443-5E1D25108FE1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13681" y="1368122"/>
          <a:ext cx="173435" cy="16833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NL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0</xdr:row>
      <xdr:rowOff>133350</xdr:rowOff>
    </xdr:from>
    <xdr:to>
      <xdr:col>21</xdr:col>
      <xdr:colOff>469900</xdr:colOff>
      <xdr:row>16</xdr:row>
      <xdr:rowOff>107950</xdr:rowOff>
    </xdr:to>
    <xdr:graphicFrame macro="">
      <xdr:nvGraphicFramePr>
        <xdr:cNvPr id="34817" name="Chart 1">
          <a:extLst>
            <a:ext uri="{FF2B5EF4-FFF2-40B4-BE49-F238E27FC236}">
              <a16:creationId xmlns:a16="http://schemas.microsoft.com/office/drawing/2014/main" id="{D545D643-DB1D-2A86-F1E5-51CCAA4DBE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12700</xdr:colOff>
      <xdr:row>0</xdr:row>
      <xdr:rowOff>152400</xdr:rowOff>
    </xdr:from>
    <xdr:to>
      <xdr:col>26</xdr:col>
      <xdr:colOff>546100</xdr:colOff>
      <xdr:row>16</xdr:row>
      <xdr:rowOff>107950</xdr:rowOff>
    </xdr:to>
    <xdr:graphicFrame macro="">
      <xdr:nvGraphicFramePr>
        <xdr:cNvPr id="34818" name="Chart 2">
          <a:extLst>
            <a:ext uri="{FF2B5EF4-FFF2-40B4-BE49-F238E27FC236}">
              <a16:creationId xmlns:a16="http://schemas.microsoft.com/office/drawing/2014/main" id="{DFFC7B4B-CEE3-CC61-BDF9-CD33863C63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584200</xdr:colOff>
      <xdr:row>40</xdr:row>
      <xdr:rowOff>0</xdr:rowOff>
    </xdr:from>
    <xdr:to>
      <xdr:col>26</xdr:col>
      <xdr:colOff>508000</xdr:colOff>
      <xdr:row>56</xdr:row>
      <xdr:rowOff>76200</xdr:rowOff>
    </xdr:to>
    <xdr:graphicFrame macro="">
      <xdr:nvGraphicFramePr>
        <xdr:cNvPr id="34819" name="Chart 3">
          <a:extLst>
            <a:ext uri="{FF2B5EF4-FFF2-40B4-BE49-F238E27FC236}">
              <a16:creationId xmlns:a16="http://schemas.microsoft.com/office/drawing/2014/main" id="{82D2647A-ABB8-E3D7-583E-B627C22184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603250</xdr:colOff>
      <xdr:row>56</xdr:row>
      <xdr:rowOff>152400</xdr:rowOff>
    </xdr:from>
    <xdr:to>
      <xdr:col>26</xdr:col>
      <xdr:colOff>527050</xdr:colOff>
      <xdr:row>72</xdr:row>
      <xdr:rowOff>101600</xdr:rowOff>
    </xdr:to>
    <xdr:graphicFrame macro="">
      <xdr:nvGraphicFramePr>
        <xdr:cNvPr id="34820" name="Chart 4">
          <a:extLst>
            <a:ext uri="{FF2B5EF4-FFF2-40B4-BE49-F238E27FC236}">
              <a16:creationId xmlns:a16="http://schemas.microsoft.com/office/drawing/2014/main" id="{93218E74-DEAC-BF0D-37CB-3F890C3C16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57150</xdr:colOff>
      <xdr:row>73</xdr:row>
      <xdr:rowOff>152400</xdr:rowOff>
    </xdr:from>
    <xdr:to>
      <xdr:col>21</xdr:col>
      <xdr:colOff>495300</xdr:colOff>
      <xdr:row>91</xdr:row>
      <xdr:rowOff>120650</xdr:rowOff>
    </xdr:to>
    <xdr:graphicFrame macro="">
      <xdr:nvGraphicFramePr>
        <xdr:cNvPr id="34821" name="Chart 5">
          <a:extLst>
            <a:ext uri="{FF2B5EF4-FFF2-40B4-BE49-F238E27FC236}">
              <a16:creationId xmlns:a16="http://schemas.microsoft.com/office/drawing/2014/main" id="{2E139D9B-FB52-CC6A-6FA3-0FD9E91644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69850</xdr:colOff>
      <xdr:row>16</xdr:row>
      <xdr:rowOff>146050</xdr:rowOff>
    </xdr:from>
    <xdr:to>
      <xdr:col>21</xdr:col>
      <xdr:colOff>488950</xdr:colOff>
      <xdr:row>39</xdr:row>
      <xdr:rowOff>38100</xdr:rowOff>
    </xdr:to>
    <xdr:graphicFrame macro="">
      <xdr:nvGraphicFramePr>
        <xdr:cNvPr id="34822" name="Chart 6">
          <a:extLst>
            <a:ext uri="{FF2B5EF4-FFF2-40B4-BE49-F238E27FC236}">
              <a16:creationId xmlns:a16="http://schemas.microsoft.com/office/drawing/2014/main" id="{49E6CA4C-41D1-C2F0-FCD8-56A5A5E2E5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0</xdr:colOff>
      <xdr:row>17</xdr:row>
      <xdr:rowOff>0</xdr:rowOff>
    </xdr:from>
    <xdr:to>
      <xdr:col>26</xdr:col>
      <xdr:colOff>488950</xdr:colOff>
      <xdr:row>39</xdr:row>
      <xdr:rowOff>63500</xdr:rowOff>
    </xdr:to>
    <xdr:graphicFrame macro="">
      <xdr:nvGraphicFramePr>
        <xdr:cNvPr id="34823" name="Chart 7">
          <a:extLst>
            <a:ext uri="{FF2B5EF4-FFF2-40B4-BE49-F238E27FC236}">
              <a16:creationId xmlns:a16="http://schemas.microsoft.com/office/drawing/2014/main" id="{6E167817-C45A-2299-8BFD-2D8C721D8F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50800</xdr:colOff>
      <xdr:row>39</xdr:row>
      <xdr:rowOff>82550</xdr:rowOff>
    </xdr:from>
    <xdr:to>
      <xdr:col>21</xdr:col>
      <xdr:colOff>488950</xdr:colOff>
      <xdr:row>56</xdr:row>
      <xdr:rowOff>25400</xdr:rowOff>
    </xdr:to>
    <xdr:graphicFrame macro="">
      <xdr:nvGraphicFramePr>
        <xdr:cNvPr id="34824" name="Chart 8">
          <a:extLst>
            <a:ext uri="{FF2B5EF4-FFF2-40B4-BE49-F238E27FC236}">
              <a16:creationId xmlns:a16="http://schemas.microsoft.com/office/drawing/2014/main" id="{54A3BB65-349A-E20A-CDCE-C66A41A3D4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57150</xdr:colOff>
      <xdr:row>56</xdr:row>
      <xdr:rowOff>133350</xdr:rowOff>
    </xdr:from>
    <xdr:to>
      <xdr:col>21</xdr:col>
      <xdr:colOff>508000</xdr:colOff>
      <xdr:row>72</xdr:row>
      <xdr:rowOff>95250</xdr:rowOff>
    </xdr:to>
    <xdr:graphicFrame macro="">
      <xdr:nvGraphicFramePr>
        <xdr:cNvPr id="34825" name="Chart 9">
          <a:extLst>
            <a:ext uri="{FF2B5EF4-FFF2-40B4-BE49-F238E27FC236}">
              <a16:creationId xmlns:a16="http://schemas.microsoft.com/office/drawing/2014/main" id="{FDE61A48-816E-AA6C-F3B7-5A5C26B5E3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127000</xdr:colOff>
      <xdr:row>1</xdr:row>
      <xdr:rowOff>0</xdr:rowOff>
    </xdr:from>
    <xdr:to>
      <xdr:col>32</xdr:col>
      <xdr:colOff>381000</xdr:colOff>
      <xdr:row>16</xdr:row>
      <xdr:rowOff>88900</xdr:rowOff>
    </xdr:to>
    <xdr:graphicFrame macro="">
      <xdr:nvGraphicFramePr>
        <xdr:cNvPr id="34826" name="Chart 10">
          <a:extLst>
            <a:ext uri="{FF2B5EF4-FFF2-40B4-BE49-F238E27FC236}">
              <a16:creationId xmlns:a16="http://schemas.microsoft.com/office/drawing/2014/main" id="{DCE98EF2-7C2B-18E2-6F13-062E076785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33</xdr:col>
      <xdr:colOff>0</xdr:colOff>
      <xdr:row>1</xdr:row>
      <xdr:rowOff>0</xdr:rowOff>
    </xdr:from>
    <xdr:to>
      <xdr:col>39</xdr:col>
      <xdr:colOff>0</xdr:colOff>
      <xdr:row>16</xdr:row>
      <xdr:rowOff>31750</xdr:rowOff>
    </xdr:to>
    <xdr:graphicFrame macro="">
      <xdr:nvGraphicFramePr>
        <xdr:cNvPr id="34827" name="Chart 11">
          <a:extLst>
            <a:ext uri="{FF2B5EF4-FFF2-40B4-BE49-F238E27FC236}">
              <a16:creationId xmlns:a16="http://schemas.microsoft.com/office/drawing/2014/main" id="{5D29C768-50A3-BF77-A0B8-2ED6F3F94A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27</xdr:col>
      <xdr:colOff>107950</xdr:colOff>
      <xdr:row>17</xdr:row>
      <xdr:rowOff>0</xdr:rowOff>
    </xdr:from>
    <xdr:to>
      <xdr:col>32</xdr:col>
      <xdr:colOff>374650</xdr:colOff>
      <xdr:row>39</xdr:row>
      <xdr:rowOff>25400</xdr:rowOff>
    </xdr:to>
    <xdr:graphicFrame macro="">
      <xdr:nvGraphicFramePr>
        <xdr:cNvPr id="34828" name="Chart 12">
          <a:extLst>
            <a:ext uri="{FF2B5EF4-FFF2-40B4-BE49-F238E27FC236}">
              <a16:creationId xmlns:a16="http://schemas.microsoft.com/office/drawing/2014/main" id="{8F0B6DE8-5AFE-7F68-C6BD-FEE791C58B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33</xdr:col>
      <xdr:colOff>0</xdr:colOff>
      <xdr:row>17</xdr:row>
      <xdr:rowOff>0</xdr:rowOff>
    </xdr:from>
    <xdr:to>
      <xdr:col>39</xdr:col>
      <xdr:colOff>0</xdr:colOff>
      <xdr:row>39</xdr:row>
      <xdr:rowOff>0</xdr:rowOff>
    </xdr:to>
    <xdr:graphicFrame macro="">
      <xdr:nvGraphicFramePr>
        <xdr:cNvPr id="34829" name="Chart 13">
          <a:extLst>
            <a:ext uri="{FF2B5EF4-FFF2-40B4-BE49-F238E27FC236}">
              <a16:creationId xmlns:a16="http://schemas.microsoft.com/office/drawing/2014/main" id="{A4E034DA-3AF0-F580-97ED-88DF824B0C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107950</xdr:colOff>
      <xdr:row>40</xdr:row>
      <xdr:rowOff>0</xdr:rowOff>
    </xdr:from>
    <xdr:to>
      <xdr:col>32</xdr:col>
      <xdr:colOff>355600</xdr:colOff>
      <xdr:row>56</xdr:row>
      <xdr:rowOff>63500</xdr:rowOff>
    </xdr:to>
    <xdr:graphicFrame macro="">
      <xdr:nvGraphicFramePr>
        <xdr:cNvPr id="34830" name="Chart 14">
          <a:extLst>
            <a:ext uri="{FF2B5EF4-FFF2-40B4-BE49-F238E27FC236}">
              <a16:creationId xmlns:a16="http://schemas.microsoft.com/office/drawing/2014/main" id="{42646870-63AA-4730-5D5E-1E1256B1E3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27</xdr:col>
      <xdr:colOff>114300</xdr:colOff>
      <xdr:row>57</xdr:row>
      <xdr:rowOff>0</xdr:rowOff>
    </xdr:from>
    <xdr:to>
      <xdr:col>32</xdr:col>
      <xdr:colOff>374650</xdr:colOff>
      <xdr:row>72</xdr:row>
      <xdr:rowOff>82550</xdr:rowOff>
    </xdr:to>
    <xdr:graphicFrame macro="">
      <xdr:nvGraphicFramePr>
        <xdr:cNvPr id="34831" name="Chart 15">
          <a:extLst>
            <a:ext uri="{FF2B5EF4-FFF2-40B4-BE49-F238E27FC236}">
              <a16:creationId xmlns:a16="http://schemas.microsoft.com/office/drawing/2014/main" id="{224F057C-6B72-4E88-4D4E-DAAFFC4423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33</xdr:col>
      <xdr:colOff>12700</xdr:colOff>
      <xdr:row>40</xdr:row>
      <xdr:rowOff>6350</xdr:rowOff>
    </xdr:from>
    <xdr:to>
      <xdr:col>39</xdr:col>
      <xdr:colOff>19050</xdr:colOff>
      <xdr:row>56</xdr:row>
      <xdr:rowOff>6350</xdr:rowOff>
    </xdr:to>
    <xdr:graphicFrame macro="">
      <xdr:nvGraphicFramePr>
        <xdr:cNvPr id="34832" name="Chart 16">
          <a:extLst>
            <a:ext uri="{FF2B5EF4-FFF2-40B4-BE49-F238E27FC236}">
              <a16:creationId xmlns:a16="http://schemas.microsoft.com/office/drawing/2014/main" id="{B77198A9-4231-ADFD-1578-EA83BF2F5F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33</xdr:col>
      <xdr:colOff>12700</xdr:colOff>
      <xdr:row>57</xdr:row>
      <xdr:rowOff>6350</xdr:rowOff>
    </xdr:from>
    <xdr:to>
      <xdr:col>39</xdr:col>
      <xdr:colOff>31750</xdr:colOff>
      <xdr:row>72</xdr:row>
      <xdr:rowOff>82550</xdr:rowOff>
    </xdr:to>
    <xdr:graphicFrame macro="">
      <xdr:nvGraphicFramePr>
        <xdr:cNvPr id="34833" name="Chart 17">
          <a:extLst>
            <a:ext uri="{FF2B5EF4-FFF2-40B4-BE49-F238E27FC236}">
              <a16:creationId xmlns:a16="http://schemas.microsoft.com/office/drawing/2014/main" id="{98284944-5315-4714-FA12-348CE2BE41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16</xdr:col>
      <xdr:colOff>50800</xdr:colOff>
      <xdr:row>25</xdr:row>
      <xdr:rowOff>0</xdr:rowOff>
    </xdr:from>
    <xdr:to>
      <xdr:col>17</xdr:col>
      <xdr:colOff>38100</xdr:colOff>
      <xdr:row>31</xdr:row>
      <xdr:rowOff>49880</xdr:rowOff>
    </xdr:to>
    <xdr:sp macro="" textlink="">
      <xdr:nvSpPr>
        <xdr:cNvPr id="34834" name="Text Box 18">
          <a:extLst>
            <a:ext uri="{FF2B5EF4-FFF2-40B4-BE49-F238E27FC236}">
              <a16:creationId xmlns:a16="http://schemas.microsoft.com/office/drawing/2014/main" id="{3B3888B0-9C63-887C-8087-FE98BDCAF9E1}"/>
            </a:ext>
          </a:extLst>
        </xdr:cNvPr>
        <xdr:cNvSpPr txBox="1">
          <a:spLocks noChangeArrowheads="1"/>
        </xdr:cNvSpPr>
      </xdr:nvSpPr>
      <xdr:spPr bwMode="auto">
        <a:xfrm>
          <a:off x="8331200" y="4235450"/>
          <a:ext cx="596900" cy="9969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oneCellAnchor>
    <xdr:from>
      <xdr:col>16</xdr:col>
      <xdr:colOff>50800</xdr:colOff>
      <xdr:row>135</xdr:row>
      <xdr:rowOff>44450</xdr:rowOff>
    </xdr:from>
    <xdr:ext cx="9304342" cy="1207510"/>
    <xdr:sp macro="" textlink="">
      <xdr:nvSpPr>
        <xdr:cNvPr id="34835" name="Text Box 19">
          <a:extLst>
            <a:ext uri="{FF2B5EF4-FFF2-40B4-BE49-F238E27FC236}">
              <a16:creationId xmlns:a16="http://schemas.microsoft.com/office/drawing/2014/main" id="{ABABA75E-B75F-FF08-B0D4-42921F92B045}"/>
            </a:ext>
          </a:extLst>
        </xdr:cNvPr>
        <xdr:cNvSpPr txBox="1">
          <a:spLocks noChangeArrowheads="1"/>
        </xdr:cNvSpPr>
      </xdr:nvSpPr>
      <xdr:spPr bwMode="auto">
        <a:xfrm>
          <a:off x="8365067" y="21261917"/>
          <a:ext cx="9304342" cy="120751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wrap="none" lIns="18288" tIns="27432" rIns="0" bIns="0" anchor="t" upright="1">
          <a:spAutoFit/>
        </a:bodyPr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MORE CELLS??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Please note: To add more cells to allow more data points - follow these points!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1) Under the "tools" menu find "protection" and select "unprotect sheet"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select the number of cells (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full width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and 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within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(i.e. not below) of the coloured area (grey, blue, green or yellow)  X as many rows as are needed)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right click and select "Insert"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3) When asked, please select "shift cells down"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4) </a:t>
          </a:r>
          <a:r>
            <a:rPr lang="en-NL" sz="1000" b="1" i="0" u="sng" strike="noStrike" baseline="0">
              <a:solidFill>
                <a:srgbClr val="FF0000"/>
              </a:solidFill>
              <a:latin typeface="Arial"/>
              <a:cs typeface="Arial"/>
            </a:rPr>
            <a:t>RE-PROTECT THE SHEET -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Under the "tools" menu find "protection" and select "protect sheet" leaving the password field empty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This will ensure that formulars are automatically extended and updated</a:t>
          </a:r>
        </a:p>
      </xdr:txBody>
    </xdr:sp>
    <xdr:clientData/>
  </xdr:oneCellAnchor>
  <xdr:twoCellAnchor editAs="oneCell">
    <xdr:from>
      <xdr:col>16</xdr:col>
      <xdr:colOff>50800</xdr:colOff>
      <xdr:row>45</xdr:row>
      <xdr:rowOff>0</xdr:rowOff>
    </xdr:from>
    <xdr:to>
      <xdr:col>17</xdr:col>
      <xdr:colOff>38100</xdr:colOff>
      <xdr:row>51</xdr:row>
      <xdr:rowOff>49880</xdr:rowOff>
    </xdr:to>
    <xdr:sp macro="" textlink="">
      <xdr:nvSpPr>
        <xdr:cNvPr id="34836" name="Text Box 20">
          <a:extLst>
            <a:ext uri="{FF2B5EF4-FFF2-40B4-BE49-F238E27FC236}">
              <a16:creationId xmlns:a16="http://schemas.microsoft.com/office/drawing/2014/main" id="{A3614605-8A06-5206-B62F-FB5D32415A82}"/>
            </a:ext>
          </a:extLst>
        </xdr:cNvPr>
        <xdr:cNvSpPr txBox="1">
          <a:spLocks noChangeArrowheads="1"/>
        </xdr:cNvSpPr>
      </xdr:nvSpPr>
      <xdr:spPr bwMode="auto">
        <a:xfrm>
          <a:off x="8331200" y="6616700"/>
          <a:ext cx="596900" cy="9969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 editAs="oneCell">
    <xdr:from>
      <xdr:col>16</xdr:col>
      <xdr:colOff>50800</xdr:colOff>
      <xdr:row>90</xdr:row>
      <xdr:rowOff>0</xdr:rowOff>
    </xdr:from>
    <xdr:to>
      <xdr:col>17</xdr:col>
      <xdr:colOff>38100</xdr:colOff>
      <xdr:row>96</xdr:row>
      <xdr:rowOff>49880</xdr:rowOff>
    </xdr:to>
    <xdr:sp macro="" textlink="">
      <xdr:nvSpPr>
        <xdr:cNvPr id="34837" name="Text Box 21">
          <a:extLst>
            <a:ext uri="{FF2B5EF4-FFF2-40B4-BE49-F238E27FC236}">
              <a16:creationId xmlns:a16="http://schemas.microsoft.com/office/drawing/2014/main" id="{BE771069-D778-1F33-73C4-7BA986389249}"/>
            </a:ext>
          </a:extLst>
        </xdr:cNvPr>
        <xdr:cNvSpPr txBox="1">
          <a:spLocks noChangeArrowheads="1"/>
        </xdr:cNvSpPr>
      </xdr:nvSpPr>
      <xdr:spPr bwMode="auto">
        <a:xfrm>
          <a:off x="8331200" y="13760450"/>
          <a:ext cx="596900" cy="9969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0.45366</cdr:x>
      <cdr:y>0.51659</cdr:y>
    </cdr:from>
    <cdr:to>
      <cdr:x>0.51472</cdr:x>
      <cdr:y>0.57885</cdr:y>
    </cdr:to>
    <cdr:sp macro="" textlink="">
      <cdr:nvSpPr>
        <cdr:cNvPr id="35841" name="Text Box 1">
          <a:extLst xmlns:a="http://schemas.openxmlformats.org/drawingml/2006/main">
            <a:ext uri="{FF2B5EF4-FFF2-40B4-BE49-F238E27FC236}">
              <a16:creationId xmlns:a16="http://schemas.microsoft.com/office/drawing/2014/main" id="{415C0644-0226-F65E-DEF1-AAE6B9661A96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330909" y="1367900"/>
          <a:ext cx="179131" cy="1648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NL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50800</xdr:colOff>
      <xdr:row>25</xdr:row>
      <xdr:rowOff>0</xdr:rowOff>
    </xdr:from>
    <xdr:to>
      <xdr:col>18</xdr:col>
      <xdr:colOff>38101</xdr:colOff>
      <xdr:row>31</xdr:row>
      <xdr:rowOff>49869</xdr:rowOff>
    </xdr:to>
    <xdr:sp macro="" textlink="">
      <xdr:nvSpPr>
        <xdr:cNvPr id="20481" name="Text Box 1">
          <a:extLst>
            <a:ext uri="{FF2B5EF4-FFF2-40B4-BE49-F238E27FC236}">
              <a16:creationId xmlns:a16="http://schemas.microsoft.com/office/drawing/2014/main" id="{96125268-4269-6F12-B986-AB8092126E0D}"/>
            </a:ext>
          </a:extLst>
        </xdr:cNvPr>
        <xdr:cNvSpPr txBox="1">
          <a:spLocks noChangeArrowheads="1"/>
        </xdr:cNvSpPr>
      </xdr:nvSpPr>
      <xdr:spPr bwMode="auto">
        <a:xfrm>
          <a:off x="9455150" y="4076700"/>
          <a:ext cx="596900" cy="9969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>
    <xdr:from>
      <xdr:col>18</xdr:col>
      <xdr:colOff>203200</xdr:colOff>
      <xdr:row>1</xdr:row>
      <xdr:rowOff>12700</xdr:rowOff>
    </xdr:from>
    <xdr:to>
      <xdr:col>23</xdr:col>
      <xdr:colOff>0</xdr:colOff>
      <xdr:row>16</xdr:row>
      <xdr:rowOff>146050</xdr:rowOff>
    </xdr:to>
    <xdr:graphicFrame macro="">
      <xdr:nvGraphicFramePr>
        <xdr:cNvPr id="20482" name="Chart 2">
          <a:extLst>
            <a:ext uri="{FF2B5EF4-FFF2-40B4-BE49-F238E27FC236}">
              <a16:creationId xmlns:a16="http://schemas.microsoft.com/office/drawing/2014/main" id="{A793D5EF-01F1-A9AC-302F-D740B3E2DD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76200</xdr:colOff>
      <xdr:row>1</xdr:row>
      <xdr:rowOff>0</xdr:rowOff>
    </xdr:from>
    <xdr:to>
      <xdr:col>28</xdr:col>
      <xdr:colOff>0</xdr:colOff>
      <xdr:row>16</xdr:row>
      <xdr:rowOff>114300</xdr:rowOff>
    </xdr:to>
    <xdr:graphicFrame macro="">
      <xdr:nvGraphicFramePr>
        <xdr:cNvPr id="20483" name="Chart 3">
          <a:extLst>
            <a:ext uri="{FF2B5EF4-FFF2-40B4-BE49-F238E27FC236}">
              <a16:creationId xmlns:a16="http://schemas.microsoft.com/office/drawing/2014/main" id="{BDD52A4E-E093-B6B6-E9AC-61D03DACB5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88900</xdr:colOff>
      <xdr:row>40</xdr:row>
      <xdr:rowOff>101600</xdr:rowOff>
    </xdr:from>
    <xdr:to>
      <xdr:col>27</xdr:col>
      <xdr:colOff>603250</xdr:colOff>
      <xdr:row>57</xdr:row>
      <xdr:rowOff>19050</xdr:rowOff>
    </xdr:to>
    <xdr:graphicFrame macro="">
      <xdr:nvGraphicFramePr>
        <xdr:cNvPr id="20484" name="Chart 4">
          <a:extLst>
            <a:ext uri="{FF2B5EF4-FFF2-40B4-BE49-F238E27FC236}">
              <a16:creationId xmlns:a16="http://schemas.microsoft.com/office/drawing/2014/main" id="{1B8BB9DF-7A65-A7C6-A01D-4AD5B35CAA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107950</xdr:colOff>
      <xdr:row>57</xdr:row>
      <xdr:rowOff>152400</xdr:rowOff>
    </xdr:from>
    <xdr:to>
      <xdr:col>27</xdr:col>
      <xdr:colOff>603250</xdr:colOff>
      <xdr:row>73</xdr:row>
      <xdr:rowOff>82550</xdr:rowOff>
    </xdr:to>
    <xdr:graphicFrame macro="">
      <xdr:nvGraphicFramePr>
        <xdr:cNvPr id="20485" name="Chart 5">
          <a:extLst>
            <a:ext uri="{FF2B5EF4-FFF2-40B4-BE49-F238E27FC236}">
              <a16:creationId xmlns:a16="http://schemas.microsoft.com/office/drawing/2014/main" id="{9FF8E0C9-2F48-82AE-D154-6DF59BE3AD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152400</xdr:colOff>
      <xdr:row>74</xdr:row>
      <xdr:rowOff>6350</xdr:rowOff>
    </xdr:from>
    <xdr:to>
      <xdr:col>22</xdr:col>
      <xdr:colOff>590550</xdr:colOff>
      <xdr:row>91</xdr:row>
      <xdr:rowOff>139700</xdr:rowOff>
    </xdr:to>
    <xdr:graphicFrame macro="">
      <xdr:nvGraphicFramePr>
        <xdr:cNvPr id="20486" name="Chart 6">
          <a:extLst>
            <a:ext uri="{FF2B5EF4-FFF2-40B4-BE49-F238E27FC236}">
              <a16:creationId xmlns:a16="http://schemas.microsoft.com/office/drawing/2014/main" id="{6B81AD75-73B0-DC16-28C0-EB511148B1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184150</xdr:colOff>
      <xdr:row>17</xdr:row>
      <xdr:rowOff>88900</xdr:rowOff>
    </xdr:from>
    <xdr:to>
      <xdr:col>22</xdr:col>
      <xdr:colOff>603250</xdr:colOff>
      <xdr:row>39</xdr:row>
      <xdr:rowOff>139700</xdr:rowOff>
    </xdr:to>
    <xdr:graphicFrame macro="">
      <xdr:nvGraphicFramePr>
        <xdr:cNvPr id="20487" name="Chart 7">
          <a:extLst>
            <a:ext uri="{FF2B5EF4-FFF2-40B4-BE49-F238E27FC236}">
              <a16:creationId xmlns:a16="http://schemas.microsoft.com/office/drawing/2014/main" id="{EC53F566-A98E-E7CB-2457-DED4E719D9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107950</xdr:colOff>
      <xdr:row>17</xdr:row>
      <xdr:rowOff>88900</xdr:rowOff>
    </xdr:from>
    <xdr:to>
      <xdr:col>27</xdr:col>
      <xdr:colOff>590550</xdr:colOff>
      <xdr:row>39</xdr:row>
      <xdr:rowOff>152400</xdr:rowOff>
    </xdr:to>
    <xdr:graphicFrame macro="">
      <xdr:nvGraphicFramePr>
        <xdr:cNvPr id="20488" name="Chart 8">
          <a:extLst>
            <a:ext uri="{FF2B5EF4-FFF2-40B4-BE49-F238E27FC236}">
              <a16:creationId xmlns:a16="http://schemas.microsoft.com/office/drawing/2014/main" id="{6D11D9B2-8FC2-3701-6A2D-264364DDCF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152400</xdr:colOff>
      <xdr:row>40</xdr:row>
      <xdr:rowOff>82550</xdr:rowOff>
    </xdr:from>
    <xdr:to>
      <xdr:col>22</xdr:col>
      <xdr:colOff>590550</xdr:colOff>
      <xdr:row>57</xdr:row>
      <xdr:rowOff>25400</xdr:rowOff>
    </xdr:to>
    <xdr:graphicFrame macro="">
      <xdr:nvGraphicFramePr>
        <xdr:cNvPr id="20489" name="Chart 9">
          <a:extLst>
            <a:ext uri="{FF2B5EF4-FFF2-40B4-BE49-F238E27FC236}">
              <a16:creationId xmlns:a16="http://schemas.microsoft.com/office/drawing/2014/main" id="{4C9D729E-52FB-9722-C445-469DDCCA12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127000</xdr:colOff>
      <xdr:row>58</xdr:row>
      <xdr:rowOff>0</xdr:rowOff>
    </xdr:from>
    <xdr:to>
      <xdr:col>23</xdr:col>
      <xdr:colOff>0</xdr:colOff>
      <xdr:row>73</xdr:row>
      <xdr:rowOff>82550</xdr:rowOff>
    </xdr:to>
    <xdr:graphicFrame macro="">
      <xdr:nvGraphicFramePr>
        <xdr:cNvPr id="20490" name="Chart 10">
          <a:extLst>
            <a:ext uri="{FF2B5EF4-FFF2-40B4-BE49-F238E27FC236}">
              <a16:creationId xmlns:a16="http://schemas.microsoft.com/office/drawing/2014/main" id="{FE68355B-CA13-A501-047E-508985BCD8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28</xdr:col>
      <xdr:colOff>69850</xdr:colOff>
      <xdr:row>1</xdr:row>
      <xdr:rowOff>12700</xdr:rowOff>
    </xdr:from>
    <xdr:to>
      <xdr:col>33</xdr:col>
      <xdr:colOff>323850</xdr:colOff>
      <xdr:row>16</xdr:row>
      <xdr:rowOff>95250</xdr:rowOff>
    </xdr:to>
    <xdr:graphicFrame macro="">
      <xdr:nvGraphicFramePr>
        <xdr:cNvPr id="20491" name="Chart 11">
          <a:extLst>
            <a:ext uri="{FF2B5EF4-FFF2-40B4-BE49-F238E27FC236}">
              <a16:creationId xmlns:a16="http://schemas.microsoft.com/office/drawing/2014/main" id="{30528E57-D6FE-0CE8-760A-C1390B3AD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</xdr:col>
      <xdr:colOff>0</xdr:colOff>
      <xdr:row>1</xdr:row>
      <xdr:rowOff>12700</xdr:rowOff>
    </xdr:from>
    <xdr:to>
      <xdr:col>40</xdr:col>
      <xdr:colOff>190500</xdr:colOff>
      <xdr:row>16</xdr:row>
      <xdr:rowOff>107950</xdr:rowOff>
    </xdr:to>
    <xdr:graphicFrame macro="">
      <xdr:nvGraphicFramePr>
        <xdr:cNvPr id="20492" name="Chart 12">
          <a:extLst>
            <a:ext uri="{FF2B5EF4-FFF2-40B4-BE49-F238E27FC236}">
              <a16:creationId xmlns:a16="http://schemas.microsoft.com/office/drawing/2014/main" id="{5E598D77-15E8-DB06-7121-67DF4791D1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28</xdr:col>
      <xdr:colOff>69850</xdr:colOff>
      <xdr:row>17</xdr:row>
      <xdr:rowOff>107950</xdr:rowOff>
    </xdr:from>
    <xdr:to>
      <xdr:col>33</xdr:col>
      <xdr:colOff>323850</xdr:colOff>
      <xdr:row>40</xdr:row>
      <xdr:rowOff>6350</xdr:rowOff>
    </xdr:to>
    <xdr:graphicFrame macro="">
      <xdr:nvGraphicFramePr>
        <xdr:cNvPr id="20493" name="Chart 13">
          <a:extLst>
            <a:ext uri="{FF2B5EF4-FFF2-40B4-BE49-F238E27FC236}">
              <a16:creationId xmlns:a16="http://schemas.microsoft.com/office/drawing/2014/main" id="{74BC4102-F75D-6E68-7825-86E02F8FAC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34</xdr:col>
      <xdr:colOff>0</xdr:colOff>
      <xdr:row>17</xdr:row>
      <xdr:rowOff>107950</xdr:rowOff>
    </xdr:from>
    <xdr:to>
      <xdr:col>40</xdr:col>
      <xdr:colOff>158750</xdr:colOff>
      <xdr:row>40</xdr:row>
      <xdr:rowOff>25400</xdr:rowOff>
    </xdr:to>
    <xdr:graphicFrame macro="">
      <xdr:nvGraphicFramePr>
        <xdr:cNvPr id="20494" name="Chart 14">
          <a:extLst>
            <a:ext uri="{FF2B5EF4-FFF2-40B4-BE49-F238E27FC236}">
              <a16:creationId xmlns:a16="http://schemas.microsoft.com/office/drawing/2014/main" id="{AE66B001-7DCF-BF99-AD0A-97684577B6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28</xdr:col>
      <xdr:colOff>69850</xdr:colOff>
      <xdr:row>40</xdr:row>
      <xdr:rowOff>114300</xdr:rowOff>
    </xdr:from>
    <xdr:to>
      <xdr:col>33</xdr:col>
      <xdr:colOff>317500</xdr:colOff>
      <xdr:row>57</xdr:row>
      <xdr:rowOff>25400</xdr:rowOff>
    </xdr:to>
    <xdr:graphicFrame macro="">
      <xdr:nvGraphicFramePr>
        <xdr:cNvPr id="20495" name="Chart 15">
          <a:extLst>
            <a:ext uri="{FF2B5EF4-FFF2-40B4-BE49-F238E27FC236}">
              <a16:creationId xmlns:a16="http://schemas.microsoft.com/office/drawing/2014/main" id="{AF3497F6-3997-CBA1-E775-0557D97B96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28</xdr:col>
      <xdr:colOff>69850</xdr:colOff>
      <xdr:row>57</xdr:row>
      <xdr:rowOff>139700</xdr:rowOff>
    </xdr:from>
    <xdr:to>
      <xdr:col>33</xdr:col>
      <xdr:colOff>336550</xdr:colOff>
      <xdr:row>73</xdr:row>
      <xdr:rowOff>82550</xdr:rowOff>
    </xdr:to>
    <xdr:graphicFrame macro="">
      <xdr:nvGraphicFramePr>
        <xdr:cNvPr id="20496" name="Chart 16">
          <a:extLst>
            <a:ext uri="{FF2B5EF4-FFF2-40B4-BE49-F238E27FC236}">
              <a16:creationId xmlns:a16="http://schemas.microsoft.com/office/drawing/2014/main" id="{C1873C02-3645-6183-B036-5E9DE4BD70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34</xdr:col>
      <xdr:colOff>12700</xdr:colOff>
      <xdr:row>40</xdr:row>
      <xdr:rowOff>139700</xdr:rowOff>
    </xdr:from>
    <xdr:to>
      <xdr:col>40</xdr:col>
      <xdr:colOff>152400</xdr:colOff>
      <xdr:row>57</xdr:row>
      <xdr:rowOff>25400</xdr:rowOff>
    </xdr:to>
    <xdr:graphicFrame macro="">
      <xdr:nvGraphicFramePr>
        <xdr:cNvPr id="20497" name="Chart 17">
          <a:extLst>
            <a:ext uri="{FF2B5EF4-FFF2-40B4-BE49-F238E27FC236}">
              <a16:creationId xmlns:a16="http://schemas.microsoft.com/office/drawing/2014/main" id="{E0E15783-AE3E-3A8D-9C18-00844EBB23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34</xdr:col>
      <xdr:colOff>0</xdr:colOff>
      <xdr:row>58</xdr:row>
      <xdr:rowOff>6350</xdr:rowOff>
    </xdr:from>
    <xdr:to>
      <xdr:col>40</xdr:col>
      <xdr:colOff>152400</xdr:colOff>
      <xdr:row>73</xdr:row>
      <xdr:rowOff>101600</xdr:rowOff>
    </xdr:to>
    <xdr:graphicFrame macro="">
      <xdr:nvGraphicFramePr>
        <xdr:cNvPr id="20498" name="Chart 18">
          <a:extLst>
            <a:ext uri="{FF2B5EF4-FFF2-40B4-BE49-F238E27FC236}">
              <a16:creationId xmlns:a16="http://schemas.microsoft.com/office/drawing/2014/main" id="{7B71918D-49D8-33FF-AE86-65A5744DA3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17</xdr:col>
      <xdr:colOff>57150</xdr:colOff>
      <xdr:row>135</xdr:row>
      <xdr:rowOff>57150</xdr:rowOff>
    </xdr:from>
    <xdr:ext cx="9467144" cy="1317272"/>
    <xdr:sp macro="" textlink="">
      <xdr:nvSpPr>
        <xdr:cNvPr id="20499" name="Text Box 19">
          <a:extLst>
            <a:ext uri="{FF2B5EF4-FFF2-40B4-BE49-F238E27FC236}">
              <a16:creationId xmlns:a16="http://schemas.microsoft.com/office/drawing/2014/main" id="{538E2F24-B6E0-26A0-D7A0-404D0057944E}"/>
            </a:ext>
          </a:extLst>
        </xdr:cNvPr>
        <xdr:cNvSpPr txBox="1">
          <a:spLocks noChangeArrowheads="1"/>
        </xdr:cNvSpPr>
      </xdr:nvSpPr>
      <xdr:spPr bwMode="auto">
        <a:xfrm>
          <a:off x="9461500" y="20802600"/>
          <a:ext cx="9480550" cy="12890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wrap="none" lIns="27432" tIns="27432" rIns="0" bIns="0" anchor="t" upright="1">
          <a:spAutoFit/>
        </a:bodyPr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MORE CELLS??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Please note: To add more cells to allow more data points - follow these points!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1) Under the "tools" menu find "protection" and select "unprotect sheet"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select the number of cells (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full width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and 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within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(i.e. not below) of the coloured area (grey, blue, green or yellow)  X as many rows as are needed)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right click and select "Insert"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3) When asked, please select "shift cells down"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4) </a:t>
          </a:r>
          <a:r>
            <a:rPr lang="en-NL" sz="1000" b="1" i="0" u="sng" strike="noStrike" baseline="0">
              <a:solidFill>
                <a:srgbClr val="FF0000"/>
              </a:solidFill>
              <a:latin typeface="Arial"/>
              <a:cs typeface="Arial"/>
            </a:rPr>
            <a:t>RE-PROTECT THE SHEET 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- Under the "tools" menu find "protection" and select "protect sheet" leaving the password field empty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This will ensure that formulars are automatically extended and updated</a:t>
          </a:r>
        </a:p>
      </xdr:txBody>
    </xdr:sp>
    <xdr:clientData/>
  </xdr:oneCellAnchor>
  <xdr:twoCellAnchor editAs="oneCell">
    <xdr:from>
      <xdr:col>17</xdr:col>
      <xdr:colOff>50800</xdr:colOff>
      <xdr:row>45</xdr:row>
      <xdr:rowOff>0</xdr:rowOff>
    </xdr:from>
    <xdr:to>
      <xdr:col>18</xdr:col>
      <xdr:colOff>38101</xdr:colOff>
      <xdr:row>51</xdr:row>
      <xdr:rowOff>49869</xdr:rowOff>
    </xdr:to>
    <xdr:sp macro="" textlink="">
      <xdr:nvSpPr>
        <xdr:cNvPr id="20500" name="Text Box 20">
          <a:extLst>
            <a:ext uri="{FF2B5EF4-FFF2-40B4-BE49-F238E27FC236}">
              <a16:creationId xmlns:a16="http://schemas.microsoft.com/office/drawing/2014/main" id="{F4DE6B9B-E54F-8DF1-3A0D-D67C4035F99A}"/>
            </a:ext>
          </a:extLst>
        </xdr:cNvPr>
        <xdr:cNvSpPr txBox="1">
          <a:spLocks noChangeArrowheads="1"/>
        </xdr:cNvSpPr>
      </xdr:nvSpPr>
      <xdr:spPr bwMode="auto">
        <a:xfrm>
          <a:off x="9455150" y="6457950"/>
          <a:ext cx="596900" cy="9969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 editAs="oneCell">
    <xdr:from>
      <xdr:col>17</xdr:col>
      <xdr:colOff>50800</xdr:colOff>
      <xdr:row>90</xdr:row>
      <xdr:rowOff>0</xdr:rowOff>
    </xdr:from>
    <xdr:to>
      <xdr:col>18</xdr:col>
      <xdr:colOff>38101</xdr:colOff>
      <xdr:row>96</xdr:row>
      <xdr:rowOff>49869</xdr:rowOff>
    </xdr:to>
    <xdr:sp macro="" textlink="">
      <xdr:nvSpPr>
        <xdr:cNvPr id="20501" name="Text Box 21">
          <a:extLst>
            <a:ext uri="{FF2B5EF4-FFF2-40B4-BE49-F238E27FC236}">
              <a16:creationId xmlns:a16="http://schemas.microsoft.com/office/drawing/2014/main" id="{05B558DF-F66C-822E-0CC7-5414865286FD}"/>
            </a:ext>
          </a:extLst>
        </xdr:cNvPr>
        <xdr:cNvSpPr txBox="1">
          <a:spLocks noChangeArrowheads="1"/>
        </xdr:cNvSpPr>
      </xdr:nvSpPr>
      <xdr:spPr bwMode="auto">
        <a:xfrm>
          <a:off x="9455150" y="13601700"/>
          <a:ext cx="596900" cy="9969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0.47387</cdr:x>
      <cdr:y>0.49784</cdr:y>
    </cdr:from>
    <cdr:to>
      <cdr:x>0.53193</cdr:x>
      <cdr:y>0.55833</cdr:y>
    </cdr:to>
    <cdr:sp macro="" textlink="">
      <cdr:nvSpPr>
        <cdr:cNvPr id="21505" name="Text Box 1">
          <a:extLst xmlns:a="http://schemas.openxmlformats.org/drawingml/2006/main">
            <a:ext uri="{FF2B5EF4-FFF2-40B4-BE49-F238E27FC236}">
              <a16:creationId xmlns:a16="http://schemas.microsoft.com/office/drawing/2014/main" id="{A5C15150-1C0C-FEC9-F75D-61D5DB391DC5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486497" y="1270835"/>
          <a:ext cx="182118" cy="15441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NL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50800</xdr:colOff>
      <xdr:row>25</xdr:row>
      <xdr:rowOff>0</xdr:rowOff>
    </xdr:from>
    <xdr:to>
      <xdr:col>18</xdr:col>
      <xdr:colOff>38100</xdr:colOff>
      <xdr:row>31</xdr:row>
      <xdr:rowOff>44450</xdr:rowOff>
    </xdr:to>
    <xdr:sp macro="" textlink="">
      <xdr:nvSpPr>
        <xdr:cNvPr id="27649" name="Text Box 1">
          <a:extLst>
            <a:ext uri="{FF2B5EF4-FFF2-40B4-BE49-F238E27FC236}">
              <a16:creationId xmlns:a16="http://schemas.microsoft.com/office/drawing/2014/main" id="{768BC817-012E-5070-CA2A-C846A9D9AAE4}"/>
            </a:ext>
          </a:extLst>
        </xdr:cNvPr>
        <xdr:cNvSpPr txBox="1">
          <a:spLocks noChangeArrowheads="1"/>
        </xdr:cNvSpPr>
      </xdr:nvSpPr>
      <xdr:spPr bwMode="auto">
        <a:xfrm>
          <a:off x="9258300" y="4241800"/>
          <a:ext cx="596900" cy="9969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>
    <xdr:from>
      <xdr:col>18</xdr:col>
      <xdr:colOff>203200</xdr:colOff>
      <xdr:row>1</xdr:row>
      <xdr:rowOff>12700</xdr:rowOff>
    </xdr:from>
    <xdr:to>
      <xdr:col>23</xdr:col>
      <xdr:colOff>0</xdr:colOff>
      <xdr:row>16</xdr:row>
      <xdr:rowOff>146050</xdr:rowOff>
    </xdr:to>
    <xdr:graphicFrame macro="">
      <xdr:nvGraphicFramePr>
        <xdr:cNvPr id="27650" name="Chart 2">
          <a:extLst>
            <a:ext uri="{FF2B5EF4-FFF2-40B4-BE49-F238E27FC236}">
              <a16:creationId xmlns:a16="http://schemas.microsoft.com/office/drawing/2014/main" id="{A265B754-32BA-F7AA-E21E-1279B370E5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76200</xdr:colOff>
      <xdr:row>1</xdr:row>
      <xdr:rowOff>0</xdr:rowOff>
    </xdr:from>
    <xdr:to>
      <xdr:col>28</xdr:col>
      <xdr:colOff>0</xdr:colOff>
      <xdr:row>16</xdr:row>
      <xdr:rowOff>114300</xdr:rowOff>
    </xdr:to>
    <xdr:graphicFrame macro="">
      <xdr:nvGraphicFramePr>
        <xdr:cNvPr id="27651" name="Chart 3">
          <a:extLst>
            <a:ext uri="{FF2B5EF4-FFF2-40B4-BE49-F238E27FC236}">
              <a16:creationId xmlns:a16="http://schemas.microsoft.com/office/drawing/2014/main" id="{4E8DD1E6-072E-A9A6-3807-0319DD6491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88900</xdr:colOff>
      <xdr:row>35</xdr:row>
      <xdr:rowOff>101600</xdr:rowOff>
    </xdr:from>
    <xdr:to>
      <xdr:col>27</xdr:col>
      <xdr:colOff>603250</xdr:colOff>
      <xdr:row>52</xdr:row>
      <xdr:rowOff>19050</xdr:rowOff>
    </xdr:to>
    <xdr:graphicFrame macro="">
      <xdr:nvGraphicFramePr>
        <xdr:cNvPr id="27652" name="Chart 4">
          <a:extLst>
            <a:ext uri="{FF2B5EF4-FFF2-40B4-BE49-F238E27FC236}">
              <a16:creationId xmlns:a16="http://schemas.microsoft.com/office/drawing/2014/main" id="{A80DC686-A1B0-F8F9-51FE-BA96BA3E2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107950</xdr:colOff>
      <xdr:row>52</xdr:row>
      <xdr:rowOff>152400</xdr:rowOff>
    </xdr:from>
    <xdr:to>
      <xdr:col>27</xdr:col>
      <xdr:colOff>603250</xdr:colOff>
      <xdr:row>68</xdr:row>
      <xdr:rowOff>82550</xdr:rowOff>
    </xdr:to>
    <xdr:graphicFrame macro="">
      <xdr:nvGraphicFramePr>
        <xdr:cNvPr id="27653" name="Chart 5">
          <a:extLst>
            <a:ext uri="{FF2B5EF4-FFF2-40B4-BE49-F238E27FC236}">
              <a16:creationId xmlns:a16="http://schemas.microsoft.com/office/drawing/2014/main" id="{7CCB3953-94CE-F5C6-76BD-F88F74A63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152400</xdr:colOff>
      <xdr:row>69</xdr:row>
      <xdr:rowOff>6350</xdr:rowOff>
    </xdr:from>
    <xdr:to>
      <xdr:col>22</xdr:col>
      <xdr:colOff>590550</xdr:colOff>
      <xdr:row>86</xdr:row>
      <xdr:rowOff>139700</xdr:rowOff>
    </xdr:to>
    <xdr:graphicFrame macro="">
      <xdr:nvGraphicFramePr>
        <xdr:cNvPr id="27654" name="Chart 6">
          <a:extLst>
            <a:ext uri="{FF2B5EF4-FFF2-40B4-BE49-F238E27FC236}">
              <a16:creationId xmlns:a16="http://schemas.microsoft.com/office/drawing/2014/main" id="{02C1FF3F-76BC-6BC8-5915-7F727E21CD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184150</xdr:colOff>
      <xdr:row>17</xdr:row>
      <xdr:rowOff>88900</xdr:rowOff>
    </xdr:from>
    <xdr:to>
      <xdr:col>22</xdr:col>
      <xdr:colOff>603250</xdr:colOff>
      <xdr:row>34</xdr:row>
      <xdr:rowOff>139700</xdr:rowOff>
    </xdr:to>
    <xdr:graphicFrame macro="">
      <xdr:nvGraphicFramePr>
        <xdr:cNvPr id="27655" name="Chart 7">
          <a:extLst>
            <a:ext uri="{FF2B5EF4-FFF2-40B4-BE49-F238E27FC236}">
              <a16:creationId xmlns:a16="http://schemas.microsoft.com/office/drawing/2014/main" id="{6784163E-9AE3-C4B7-4476-BAE615FA8A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107950</xdr:colOff>
      <xdr:row>17</xdr:row>
      <xdr:rowOff>88900</xdr:rowOff>
    </xdr:from>
    <xdr:to>
      <xdr:col>27</xdr:col>
      <xdr:colOff>590550</xdr:colOff>
      <xdr:row>34</xdr:row>
      <xdr:rowOff>152400</xdr:rowOff>
    </xdr:to>
    <xdr:graphicFrame macro="">
      <xdr:nvGraphicFramePr>
        <xdr:cNvPr id="27656" name="Chart 8">
          <a:extLst>
            <a:ext uri="{FF2B5EF4-FFF2-40B4-BE49-F238E27FC236}">
              <a16:creationId xmlns:a16="http://schemas.microsoft.com/office/drawing/2014/main" id="{06D6283F-FC13-C756-9788-ECE7E84168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152400</xdr:colOff>
      <xdr:row>35</xdr:row>
      <xdr:rowOff>82550</xdr:rowOff>
    </xdr:from>
    <xdr:to>
      <xdr:col>22</xdr:col>
      <xdr:colOff>590550</xdr:colOff>
      <xdr:row>52</xdr:row>
      <xdr:rowOff>25400</xdr:rowOff>
    </xdr:to>
    <xdr:graphicFrame macro="">
      <xdr:nvGraphicFramePr>
        <xdr:cNvPr id="27657" name="Chart 9">
          <a:extLst>
            <a:ext uri="{FF2B5EF4-FFF2-40B4-BE49-F238E27FC236}">
              <a16:creationId xmlns:a16="http://schemas.microsoft.com/office/drawing/2014/main" id="{31B6CA9A-5117-00E2-0400-52292E9BB6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127000</xdr:colOff>
      <xdr:row>53</xdr:row>
      <xdr:rowOff>0</xdr:rowOff>
    </xdr:from>
    <xdr:to>
      <xdr:col>23</xdr:col>
      <xdr:colOff>0</xdr:colOff>
      <xdr:row>68</xdr:row>
      <xdr:rowOff>82550</xdr:rowOff>
    </xdr:to>
    <xdr:graphicFrame macro="">
      <xdr:nvGraphicFramePr>
        <xdr:cNvPr id="27658" name="Chart 10">
          <a:extLst>
            <a:ext uri="{FF2B5EF4-FFF2-40B4-BE49-F238E27FC236}">
              <a16:creationId xmlns:a16="http://schemas.microsoft.com/office/drawing/2014/main" id="{CE7A0C71-332B-E3ED-53E5-1C9A13491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28</xdr:col>
      <xdr:colOff>69850</xdr:colOff>
      <xdr:row>1</xdr:row>
      <xdr:rowOff>12700</xdr:rowOff>
    </xdr:from>
    <xdr:to>
      <xdr:col>33</xdr:col>
      <xdr:colOff>323850</xdr:colOff>
      <xdr:row>16</xdr:row>
      <xdr:rowOff>95250</xdr:rowOff>
    </xdr:to>
    <xdr:graphicFrame macro="">
      <xdr:nvGraphicFramePr>
        <xdr:cNvPr id="27659" name="Chart 11">
          <a:extLst>
            <a:ext uri="{FF2B5EF4-FFF2-40B4-BE49-F238E27FC236}">
              <a16:creationId xmlns:a16="http://schemas.microsoft.com/office/drawing/2014/main" id="{3D0683B8-A738-F297-D96D-38078A4DDC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</xdr:col>
      <xdr:colOff>0</xdr:colOff>
      <xdr:row>1</xdr:row>
      <xdr:rowOff>12700</xdr:rowOff>
    </xdr:from>
    <xdr:to>
      <xdr:col>40</xdr:col>
      <xdr:colOff>184150</xdr:colOff>
      <xdr:row>16</xdr:row>
      <xdr:rowOff>107950</xdr:rowOff>
    </xdr:to>
    <xdr:graphicFrame macro="">
      <xdr:nvGraphicFramePr>
        <xdr:cNvPr id="27660" name="Chart 12">
          <a:extLst>
            <a:ext uri="{FF2B5EF4-FFF2-40B4-BE49-F238E27FC236}">
              <a16:creationId xmlns:a16="http://schemas.microsoft.com/office/drawing/2014/main" id="{4B29AF5E-979E-DEC1-0783-A5C4ACAC4F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28</xdr:col>
      <xdr:colOff>69850</xdr:colOff>
      <xdr:row>17</xdr:row>
      <xdr:rowOff>107950</xdr:rowOff>
    </xdr:from>
    <xdr:to>
      <xdr:col>33</xdr:col>
      <xdr:colOff>323850</xdr:colOff>
      <xdr:row>35</xdr:row>
      <xdr:rowOff>6350</xdr:rowOff>
    </xdr:to>
    <xdr:graphicFrame macro="">
      <xdr:nvGraphicFramePr>
        <xdr:cNvPr id="27661" name="Chart 13">
          <a:extLst>
            <a:ext uri="{FF2B5EF4-FFF2-40B4-BE49-F238E27FC236}">
              <a16:creationId xmlns:a16="http://schemas.microsoft.com/office/drawing/2014/main" id="{FE43D125-4DE0-8442-F703-606F7942F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34</xdr:col>
      <xdr:colOff>0</xdr:colOff>
      <xdr:row>17</xdr:row>
      <xdr:rowOff>107950</xdr:rowOff>
    </xdr:from>
    <xdr:to>
      <xdr:col>40</xdr:col>
      <xdr:colOff>152400</xdr:colOff>
      <xdr:row>35</xdr:row>
      <xdr:rowOff>25400</xdr:rowOff>
    </xdr:to>
    <xdr:graphicFrame macro="">
      <xdr:nvGraphicFramePr>
        <xdr:cNvPr id="27662" name="Chart 14">
          <a:extLst>
            <a:ext uri="{FF2B5EF4-FFF2-40B4-BE49-F238E27FC236}">
              <a16:creationId xmlns:a16="http://schemas.microsoft.com/office/drawing/2014/main" id="{6B276189-2614-0D7E-6D6A-A67C37D787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28</xdr:col>
      <xdr:colOff>69850</xdr:colOff>
      <xdr:row>35</xdr:row>
      <xdr:rowOff>114300</xdr:rowOff>
    </xdr:from>
    <xdr:to>
      <xdr:col>33</xdr:col>
      <xdr:colOff>317500</xdr:colOff>
      <xdr:row>52</xdr:row>
      <xdr:rowOff>25400</xdr:rowOff>
    </xdr:to>
    <xdr:graphicFrame macro="">
      <xdr:nvGraphicFramePr>
        <xdr:cNvPr id="27663" name="Chart 15">
          <a:extLst>
            <a:ext uri="{FF2B5EF4-FFF2-40B4-BE49-F238E27FC236}">
              <a16:creationId xmlns:a16="http://schemas.microsoft.com/office/drawing/2014/main" id="{909F183A-D193-9F92-8607-CBB505A622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28</xdr:col>
      <xdr:colOff>69850</xdr:colOff>
      <xdr:row>52</xdr:row>
      <xdr:rowOff>139700</xdr:rowOff>
    </xdr:from>
    <xdr:to>
      <xdr:col>33</xdr:col>
      <xdr:colOff>336550</xdr:colOff>
      <xdr:row>68</xdr:row>
      <xdr:rowOff>82550</xdr:rowOff>
    </xdr:to>
    <xdr:graphicFrame macro="">
      <xdr:nvGraphicFramePr>
        <xdr:cNvPr id="27664" name="Chart 16">
          <a:extLst>
            <a:ext uri="{FF2B5EF4-FFF2-40B4-BE49-F238E27FC236}">
              <a16:creationId xmlns:a16="http://schemas.microsoft.com/office/drawing/2014/main" id="{93E593C8-C7EE-5F70-F5EC-8A3C3ABC8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34</xdr:col>
      <xdr:colOff>12700</xdr:colOff>
      <xdr:row>35</xdr:row>
      <xdr:rowOff>139700</xdr:rowOff>
    </xdr:from>
    <xdr:to>
      <xdr:col>40</xdr:col>
      <xdr:colOff>146050</xdr:colOff>
      <xdr:row>52</xdr:row>
      <xdr:rowOff>25400</xdr:rowOff>
    </xdr:to>
    <xdr:graphicFrame macro="">
      <xdr:nvGraphicFramePr>
        <xdr:cNvPr id="27665" name="Chart 17">
          <a:extLst>
            <a:ext uri="{FF2B5EF4-FFF2-40B4-BE49-F238E27FC236}">
              <a16:creationId xmlns:a16="http://schemas.microsoft.com/office/drawing/2014/main" id="{9E2B977E-CD4A-14DB-8724-99254D9AEB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34</xdr:col>
      <xdr:colOff>0</xdr:colOff>
      <xdr:row>53</xdr:row>
      <xdr:rowOff>6350</xdr:rowOff>
    </xdr:from>
    <xdr:to>
      <xdr:col>40</xdr:col>
      <xdr:colOff>146050</xdr:colOff>
      <xdr:row>68</xdr:row>
      <xdr:rowOff>101600</xdr:rowOff>
    </xdr:to>
    <xdr:graphicFrame macro="">
      <xdr:nvGraphicFramePr>
        <xdr:cNvPr id="27666" name="Chart 18">
          <a:extLst>
            <a:ext uri="{FF2B5EF4-FFF2-40B4-BE49-F238E27FC236}">
              <a16:creationId xmlns:a16="http://schemas.microsoft.com/office/drawing/2014/main" id="{8FBEAB3D-BE1E-40DC-D1B5-C662567DC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17</xdr:col>
      <xdr:colOff>50800</xdr:colOff>
      <xdr:row>130</xdr:row>
      <xdr:rowOff>44450</xdr:rowOff>
    </xdr:from>
    <xdr:ext cx="9389040" cy="1347853"/>
    <xdr:sp macro="" textlink="">
      <xdr:nvSpPr>
        <xdr:cNvPr id="27667" name="Text Box 19">
          <a:extLst>
            <a:ext uri="{FF2B5EF4-FFF2-40B4-BE49-F238E27FC236}">
              <a16:creationId xmlns:a16="http://schemas.microsoft.com/office/drawing/2014/main" id="{F39FF0D7-993C-FAF6-95B8-8C412E9CB379}"/>
            </a:ext>
          </a:extLst>
        </xdr:cNvPr>
        <xdr:cNvSpPr txBox="1">
          <a:spLocks noChangeArrowheads="1"/>
        </xdr:cNvSpPr>
      </xdr:nvSpPr>
      <xdr:spPr bwMode="auto">
        <a:xfrm>
          <a:off x="9258300" y="20955000"/>
          <a:ext cx="9404350" cy="13652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wrap="none" lIns="18288" tIns="27432" rIns="0" bIns="0" anchor="t" upright="1">
          <a:spAutoFit/>
        </a:bodyPr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MORE CELLS??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Please note: To add more cells to allow more data points - follow these points!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1) Under the "tools" menu find "protection" and select "unprotect sheet"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select the number of cells (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full width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and </a:t>
          </a:r>
          <a:r>
            <a:rPr lang="en-NL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within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(i.e. not below) of the coloured area (grey, blue, green or yellow)  X as many rows as are needed)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2) Then right click and select "Insert"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3) When asked, please select "shift cells down"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4) </a:t>
          </a:r>
          <a:r>
            <a:rPr lang="en-NL" sz="1000" b="1" i="0" u="sng" strike="noStrike" baseline="0">
              <a:solidFill>
                <a:srgbClr val="FF0000"/>
              </a:solidFill>
              <a:latin typeface="Arial"/>
              <a:cs typeface="Arial"/>
            </a:rPr>
            <a:t>RE-PROTECT THE SHEET </a:t>
          </a: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- Under the "tools" menu find "protection" and select "protect sheet" leaving the password field empty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This will ensure that formulars are automatically extended and updated</a:t>
          </a:r>
        </a:p>
      </xdr:txBody>
    </xdr:sp>
    <xdr:clientData/>
  </xdr:oneCellAnchor>
  <xdr:twoCellAnchor editAs="oneCell">
    <xdr:from>
      <xdr:col>17</xdr:col>
      <xdr:colOff>50800</xdr:colOff>
      <xdr:row>40</xdr:row>
      <xdr:rowOff>0</xdr:rowOff>
    </xdr:from>
    <xdr:to>
      <xdr:col>18</xdr:col>
      <xdr:colOff>38100</xdr:colOff>
      <xdr:row>46</xdr:row>
      <xdr:rowOff>44450</xdr:rowOff>
    </xdr:to>
    <xdr:sp macro="" textlink="">
      <xdr:nvSpPr>
        <xdr:cNvPr id="27668" name="Text Box 20">
          <a:extLst>
            <a:ext uri="{FF2B5EF4-FFF2-40B4-BE49-F238E27FC236}">
              <a16:creationId xmlns:a16="http://schemas.microsoft.com/office/drawing/2014/main" id="{D17F0369-0E3B-F3A0-DCC5-A1B21F5AFB95}"/>
            </a:ext>
          </a:extLst>
        </xdr:cNvPr>
        <xdr:cNvSpPr txBox="1">
          <a:spLocks noChangeArrowheads="1"/>
        </xdr:cNvSpPr>
      </xdr:nvSpPr>
      <xdr:spPr bwMode="auto">
        <a:xfrm>
          <a:off x="9258300" y="6623050"/>
          <a:ext cx="596900" cy="9969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  <xdr:twoCellAnchor editAs="oneCell">
    <xdr:from>
      <xdr:col>17</xdr:col>
      <xdr:colOff>50800</xdr:colOff>
      <xdr:row>85</xdr:row>
      <xdr:rowOff>0</xdr:rowOff>
    </xdr:from>
    <xdr:to>
      <xdr:col>18</xdr:col>
      <xdr:colOff>38100</xdr:colOff>
      <xdr:row>91</xdr:row>
      <xdr:rowOff>44450</xdr:rowOff>
    </xdr:to>
    <xdr:sp macro="" textlink="">
      <xdr:nvSpPr>
        <xdr:cNvPr id="27669" name="Text Box 21">
          <a:extLst>
            <a:ext uri="{FF2B5EF4-FFF2-40B4-BE49-F238E27FC236}">
              <a16:creationId xmlns:a16="http://schemas.microsoft.com/office/drawing/2014/main" id="{1EB27271-EF84-AFD1-425D-B96F0E287249}"/>
            </a:ext>
          </a:extLst>
        </xdr:cNvPr>
        <xdr:cNvSpPr txBox="1">
          <a:spLocks noChangeArrowheads="1"/>
        </xdr:cNvSpPr>
      </xdr:nvSpPr>
      <xdr:spPr bwMode="auto">
        <a:xfrm>
          <a:off x="9258300" y="13766800"/>
          <a:ext cx="596900" cy="9969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NEED 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MORE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CELLS?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See note</a:t>
          </a:r>
        </a:p>
        <a:p>
          <a:pPr algn="l" rtl="0">
            <a:defRPr sz="1000"/>
          </a:pPr>
          <a:r>
            <a:rPr lang="en-NL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below.        </a:t>
          </a:r>
        </a:p>
      </xdr:txBody>
    </xdr:sp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0.47533</cdr:x>
      <cdr:y>0.50337</cdr:y>
    </cdr:from>
    <cdr:to>
      <cdr:x>0.53483</cdr:x>
      <cdr:y>0.56522</cdr:y>
    </cdr:to>
    <cdr:sp macro="" textlink="">
      <cdr:nvSpPr>
        <cdr:cNvPr id="28673" name="Text Box 1">
          <a:extLst xmlns:a="http://schemas.openxmlformats.org/drawingml/2006/main">
            <a:ext uri="{FF2B5EF4-FFF2-40B4-BE49-F238E27FC236}">
              <a16:creationId xmlns:a16="http://schemas.microsoft.com/office/drawing/2014/main" id="{A1624819-8614-1157-7897-7DA05798213B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482011" y="1368057"/>
          <a:ext cx="185499" cy="168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NL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indexed="48"/>
  </sheetPr>
  <dimension ref="A1:AQ322"/>
  <sheetViews>
    <sheetView zoomScaleNormal="100" workbookViewId="0">
      <selection activeCell="E25" sqref="E25"/>
    </sheetView>
  </sheetViews>
  <sheetFormatPr defaultRowHeight="12.45" x14ac:dyDescent="0.3"/>
  <cols>
    <col min="1" max="2" width="9.23046875" bestFit="1" customWidth="1"/>
    <col min="3" max="3" width="9.69140625" bestFit="1" customWidth="1"/>
    <col min="4" max="4" width="2.23046875" customWidth="1"/>
    <col min="5" max="5" width="11.84375" bestFit="1" customWidth="1"/>
    <col min="6" max="6" width="12.69140625" bestFit="1" customWidth="1"/>
    <col min="7" max="7" width="12.69140625" hidden="1" customWidth="1"/>
    <col min="8" max="8" width="2.53515625" customWidth="1"/>
    <col min="9" max="9" width="9.69140625" customWidth="1"/>
    <col min="10" max="10" width="9.23046875" bestFit="1" customWidth="1"/>
    <col min="11" max="11" width="2.23046875" customWidth="1"/>
    <col min="12" max="12" width="9.23046875" bestFit="1" customWidth="1"/>
    <col min="13" max="13" width="9.69140625" customWidth="1"/>
    <col min="14" max="14" width="2.15234375" customWidth="1"/>
    <col min="15" max="15" width="11.15234375" customWidth="1"/>
    <col min="16" max="16" width="10.69140625" customWidth="1"/>
    <col min="19" max="19" width="9.23046875" bestFit="1" customWidth="1"/>
    <col min="24" max="25" width="9.23046875" bestFit="1" customWidth="1"/>
    <col min="29" max="29" width="9.4609375" bestFit="1" customWidth="1"/>
    <col min="30" max="30" width="12.53515625" bestFit="1" customWidth="1"/>
    <col min="32" max="32" width="2.84375" customWidth="1"/>
    <col min="35" max="35" width="2.84375" customWidth="1"/>
    <col min="36" max="37" width="9.4609375" bestFit="1" customWidth="1"/>
    <col min="38" max="38" width="2.69140625" customWidth="1"/>
    <col min="41" max="41" width="3" customWidth="1"/>
  </cols>
  <sheetData>
    <row r="1" spans="1:43" x14ac:dyDescent="0.3">
      <c r="E1" s="47" t="s">
        <v>3</v>
      </c>
      <c r="F1" s="48"/>
      <c r="G1" s="1"/>
      <c r="H1" s="1"/>
      <c r="I1" s="74" t="s">
        <v>4</v>
      </c>
      <c r="J1" s="75"/>
      <c r="K1" s="1"/>
      <c r="L1" s="74" t="s">
        <v>7</v>
      </c>
      <c r="M1" s="75"/>
      <c r="N1" s="1"/>
      <c r="O1" s="74" t="s">
        <v>8</v>
      </c>
      <c r="P1" s="16"/>
      <c r="AB1" s="38" t="s">
        <v>24</v>
      </c>
      <c r="AC1" s="39"/>
      <c r="AD1" s="38" t="s">
        <v>55</v>
      </c>
      <c r="AE1" s="40">
        <v>1.3</v>
      </c>
      <c r="AG1" s="1"/>
      <c r="AI1" s="1" t="s">
        <v>23</v>
      </c>
      <c r="AK1" s="39"/>
      <c r="AM1" s="38" t="s">
        <v>55</v>
      </c>
      <c r="AN1" s="40">
        <v>1.3</v>
      </c>
      <c r="AP1" s="1"/>
    </row>
    <row r="2" spans="1:43" x14ac:dyDescent="0.3">
      <c r="B2" s="1" t="s">
        <v>22</v>
      </c>
      <c r="E2" s="35">
        <v>796.01307517485134</v>
      </c>
      <c r="F2" s="36"/>
      <c r="I2" s="35">
        <v>797.49871926529715</v>
      </c>
      <c r="J2" s="36"/>
      <c r="L2" s="35">
        <v>797.10101304089233</v>
      </c>
      <c r="M2" s="36"/>
      <c r="O2" s="35">
        <v>806.96924373930676</v>
      </c>
      <c r="P2" s="36"/>
      <c r="S2" s="3">
        <f>0</f>
        <v>0</v>
      </c>
      <c r="AC2">
        <f>MAX(AC1,MAX(A25:A225))</f>
        <v>0.4</v>
      </c>
      <c r="AK2">
        <f>MAX(AK1,MAX(B25:B225))</f>
        <v>4</v>
      </c>
    </row>
    <row r="3" spans="1:43" x14ac:dyDescent="0.3">
      <c r="B3" s="21" t="s">
        <v>34</v>
      </c>
      <c r="C3" s="12"/>
      <c r="D3" s="12"/>
      <c r="E3" s="49">
        <v>6.2505068927499066</v>
      </c>
      <c r="F3" s="50"/>
      <c r="G3" s="12"/>
      <c r="H3" s="12"/>
      <c r="I3" s="49">
        <v>7.5840601091588384</v>
      </c>
      <c r="J3" s="50"/>
      <c r="K3" s="12"/>
      <c r="L3" s="49">
        <v>7.1898064297455972</v>
      </c>
      <c r="M3" s="50"/>
      <c r="N3" s="12"/>
      <c r="O3" s="49">
        <v>8.1571665287700448</v>
      </c>
      <c r="P3" s="50"/>
      <c r="S3" s="3">
        <f>MAX(C25:C225)</f>
        <v>1051</v>
      </c>
      <c r="AD3" t="s">
        <v>0</v>
      </c>
      <c r="AK3" t="s">
        <v>0</v>
      </c>
    </row>
    <row r="4" spans="1:43" x14ac:dyDescent="0.3">
      <c r="B4" s="22" t="s">
        <v>35</v>
      </c>
      <c r="C4" s="8"/>
      <c r="D4" s="8"/>
      <c r="E4" s="51">
        <v>0.37705865461425525</v>
      </c>
      <c r="F4" s="52"/>
      <c r="G4" s="8"/>
      <c r="H4" s="8"/>
      <c r="I4" s="51">
        <v>0.36756596921978035</v>
      </c>
      <c r="J4" s="52"/>
      <c r="K4" s="8"/>
      <c r="L4" s="51">
        <v>0.37228103523767264</v>
      </c>
      <c r="M4" s="52"/>
      <c r="N4" s="8"/>
      <c r="O4" s="51">
        <v>0.21048075087237483</v>
      </c>
      <c r="P4" s="52"/>
      <c r="AC4">
        <v>0</v>
      </c>
      <c r="AD4">
        <f t="shared" ref="AD4:AD16" si="0">$E$2/(1+(AC4/$E$5)^$E$3)</f>
        <v>796.01307517485134</v>
      </c>
      <c r="AJ4">
        <v>0</v>
      </c>
      <c r="AK4">
        <f t="shared" ref="AK4:AK16" si="1">$E$2/(1+(AJ4/$E$6)^$E$4)</f>
        <v>796.01307517485134</v>
      </c>
    </row>
    <row r="5" spans="1:43" x14ac:dyDescent="0.3">
      <c r="B5" s="21" t="s">
        <v>43</v>
      </c>
      <c r="C5" s="12"/>
      <c r="D5" s="12"/>
      <c r="E5" s="49">
        <v>8.2024875510849138E-2</v>
      </c>
      <c r="F5" s="50"/>
      <c r="G5" s="12"/>
      <c r="H5" s="12"/>
      <c r="I5" s="49">
        <v>7.5795067446008266E-2</v>
      </c>
      <c r="J5" s="50"/>
      <c r="K5" s="12"/>
      <c r="L5" s="49">
        <v>7.8722041206543761E-2</v>
      </c>
      <c r="M5" s="50"/>
      <c r="N5" s="12"/>
      <c r="O5" s="49">
        <v>7.7556143350840781E-2</v>
      </c>
      <c r="P5" s="50"/>
      <c r="AC5">
        <f t="shared" ref="AC5:AC13" si="2">AC6/$AE$1</f>
        <v>2.9015260114562277E-2</v>
      </c>
      <c r="AD5">
        <f t="shared" si="0"/>
        <v>794.81277016731542</v>
      </c>
      <c r="AJ5">
        <f t="shared" ref="AJ5:AJ13" si="3">AJ6/$AN$1</f>
        <v>0.2901526011456228</v>
      </c>
      <c r="AK5">
        <f t="shared" si="1"/>
        <v>716.82258517757555</v>
      </c>
    </row>
    <row r="6" spans="1:43" x14ac:dyDescent="0.3">
      <c r="B6" s="22" t="s">
        <v>42</v>
      </c>
      <c r="C6" s="8"/>
      <c r="D6" s="8"/>
      <c r="E6" s="67">
        <v>100</v>
      </c>
      <c r="F6" s="69"/>
      <c r="G6" s="8"/>
      <c r="H6" s="8"/>
      <c r="I6" s="67">
        <v>100</v>
      </c>
      <c r="J6" s="52"/>
      <c r="K6" s="8"/>
      <c r="L6" s="67">
        <v>99.999999938501716</v>
      </c>
      <c r="M6" s="52"/>
      <c r="N6" s="8"/>
      <c r="O6" s="67">
        <v>100</v>
      </c>
      <c r="P6" s="52"/>
      <c r="AC6">
        <f t="shared" si="2"/>
        <v>3.7719838148930963E-2</v>
      </c>
      <c r="AD6">
        <f t="shared" si="0"/>
        <v>789.86437920418359</v>
      </c>
      <c r="AJ6">
        <f t="shared" si="3"/>
        <v>0.37719838148930962</v>
      </c>
      <c r="AK6">
        <f t="shared" si="1"/>
        <v>709.48307286035515</v>
      </c>
    </row>
    <row r="7" spans="1:43" x14ac:dyDescent="0.3">
      <c r="B7" s="1" t="s">
        <v>5</v>
      </c>
      <c r="F7" s="2"/>
      <c r="G7" s="2"/>
      <c r="H7" s="2"/>
      <c r="I7" s="26">
        <v>9.9845522208615591</v>
      </c>
      <c r="J7" s="27"/>
      <c r="L7" s="26">
        <v>629.0984551069289</v>
      </c>
      <c r="M7" s="25"/>
      <c r="O7" s="26">
        <v>529.76460580179651</v>
      </c>
      <c r="P7" s="25"/>
      <c r="X7">
        <v>0</v>
      </c>
      <c r="Y7">
        <v>0</v>
      </c>
      <c r="AC7">
        <f t="shared" si="2"/>
        <v>4.9035789593610254E-2</v>
      </c>
      <c r="AD7">
        <f t="shared" si="0"/>
        <v>765.30390174335582</v>
      </c>
      <c r="AJ7">
        <f t="shared" si="3"/>
        <v>0.49035789593610252</v>
      </c>
      <c r="AK7">
        <f t="shared" si="1"/>
        <v>701.55296101830743</v>
      </c>
    </row>
    <row r="8" spans="1:43" x14ac:dyDescent="0.3">
      <c r="B8" s="1" t="s">
        <v>6</v>
      </c>
      <c r="L8" s="26">
        <v>-635.66301233126364</v>
      </c>
      <c r="M8" s="27"/>
      <c r="O8" s="26">
        <v>0.74721320099033306</v>
      </c>
      <c r="P8" s="27"/>
      <c r="X8">
        <f>MAX(MAX(E227:E302), MAX(I227:I302), MAX(L227:L302), MAX(O227:O302))</f>
        <v>3.9680412038514441</v>
      </c>
      <c r="Y8">
        <v>0</v>
      </c>
      <c r="AC8">
        <f t="shared" si="2"/>
        <v>6.3746526471693335E-2</v>
      </c>
      <c r="AD8">
        <f t="shared" si="0"/>
        <v>659.58371742757708</v>
      </c>
      <c r="AJ8">
        <f t="shared" si="3"/>
        <v>0.63746526471693332</v>
      </c>
      <c r="AK8">
        <f t="shared" si="1"/>
        <v>693.00160784232355</v>
      </c>
    </row>
    <row r="9" spans="1:43" x14ac:dyDescent="0.3">
      <c r="B9" s="1"/>
      <c r="AC9">
        <f t="shared" si="2"/>
        <v>8.2870484413201342E-2</v>
      </c>
      <c r="AD9">
        <f t="shared" si="0"/>
        <v>385.25326448446691</v>
      </c>
      <c r="AJ9">
        <f t="shared" si="3"/>
        <v>0.82870484413201329</v>
      </c>
      <c r="AK9">
        <f t="shared" si="1"/>
        <v>683.79993551185282</v>
      </c>
    </row>
    <row r="10" spans="1:43" x14ac:dyDescent="0.3">
      <c r="B10" s="1"/>
      <c r="C10" s="35"/>
      <c r="D10" s="60"/>
      <c r="E10" s="60" t="s">
        <v>2</v>
      </c>
      <c r="F10" s="61" t="s">
        <v>10</v>
      </c>
      <c r="I10" s="35"/>
      <c r="J10" s="36"/>
      <c r="L10" s="35"/>
      <c r="M10" s="36"/>
      <c r="O10" s="35"/>
      <c r="P10" s="36"/>
      <c r="AC10">
        <f t="shared" si="2"/>
        <v>0.10773162973716174</v>
      </c>
      <c r="AD10">
        <f t="shared" si="0"/>
        <v>122.53929222777498</v>
      </c>
      <c r="AG10" s="3"/>
      <c r="AJ10">
        <f t="shared" si="3"/>
        <v>1.0773162973716173</v>
      </c>
      <c r="AK10">
        <f t="shared" si="1"/>
        <v>673.92111908311165</v>
      </c>
    </row>
    <row r="11" spans="1:43" x14ac:dyDescent="0.3">
      <c r="C11" s="24" t="s">
        <v>58</v>
      </c>
      <c r="E11" s="3">
        <f>E13-E12</f>
        <v>12270319.488532757</v>
      </c>
      <c r="F11" s="54">
        <f>COUNT(E3:E6)</f>
        <v>4</v>
      </c>
      <c r="I11" s="24" t="s">
        <v>59</v>
      </c>
      <c r="J11" s="25"/>
      <c r="L11" s="24" t="s">
        <v>60</v>
      </c>
      <c r="M11" s="25"/>
      <c r="O11" s="24" t="s">
        <v>61</v>
      </c>
      <c r="P11" s="25"/>
      <c r="AC11">
        <f t="shared" si="2"/>
        <v>0.14005111865831027</v>
      </c>
      <c r="AD11">
        <f t="shared" si="0"/>
        <v>27.139744910098567</v>
      </c>
      <c r="AJ11">
        <f t="shared" si="3"/>
        <v>1.4005111865831026</v>
      </c>
      <c r="AK11">
        <f t="shared" si="1"/>
        <v>663.34134835870304</v>
      </c>
    </row>
    <row r="12" spans="1:43" s="7" customFormat="1" x14ac:dyDescent="0.3">
      <c r="A12"/>
      <c r="C12" s="56" t="s">
        <v>16</v>
      </c>
      <c r="D12" s="55"/>
      <c r="E12" s="78">
        <f>SUM(F25:F224)</f>
        <v>1633769.6838810458</v>
      </c>
      <c r="F12" s="54">
        <f>F13-F11</f>
        <v>140</v>
      </c>
      <c r="G12" s="55"/>
      <c r="H12" s="55"/>
      <c r="I12" s="79">
        <f>SUM(J25:J224)</f>
        <v>1491922.2819617658</v>
      </c>
      <c r="J12" s="57"/>
      <c r="K12" s="55"/>
      <c r="L12" s="79">
        <f>SUM(M25:M224)</f>
        <v>1483249.4729656391</v>
      </c>
      <c r="M12" s="57"/>
      <c r="N12" s="55"/>
      <c r="O12" s="79">
        <f>SUM(P25:P224)</f>
        <v>1259961.3054478357</v>
      </c>
      <c r="P12" s="25"/>
      <c r="Q12"/>
      <c r="AC12">
        <f t="shared" si="2"/>
        <v>0.18206645425580337</v>
      </c>
      <c r="AD12">
        <f t="shared" si="0"/>
        <v>5.4138180710101178</v>
      </c>
      <c r="AE12"/>
      <c r="AF12"/>
      <c r="AJ12">
        <f t="shared" si="3"/>
        <v>1.8206645425580334</v>
      </c>
      <c r="AK12">
        <f t="shared" si="1"/>
        <v>652.04065240828993</v>
      </c>
      <c r="AM12" s="6"/>
      <c r="AN12" s="6"/>
      <c r="AP12" s="6"/>
      <c r="AQ12" s="6"/>
    </row>
    <row r="13" spans="1:43" x14ac:dyDescent="0.3">
      <c r="C13" s="26" t="s">
        <v>53</v>
      </c>
      <c r="D13" s="28"/>
      <c r="E13" s="71">
        <f>SUMXMY2(C25:C224,G25:G224)</f>
        <v>13904089.172413804</v>
      </c>
      <c r="F13" s="63">
        <f>C16-1</f>
        <v>144</v>
      </c>
      <c r="G13" s="1"/>
      <c r="H13" s="1"/>
      <c r="I13" s="72"/>
      <c r="J13" s="73"/>
      <c r="K13" s="1"/>
      <c r="L13" s="72"/>
      <c r="M13" s="73"/>
      <c r="N13" s="1"/>
      <c r="O13" s="72"/>
      <c r="P13" s="27"/>
      <c r="AC13">
        <f t="shared" si="2"/>
        <v>0.23668639053254439</v>
      </c>
      <c r="AD13">
        <f t="shared" si="0"/>
        <v>1.056056598631147</v>
      </c>
      <c r="AJ13">
        <f t="shared" si="3"/>
        <v>2.3668639053254434</v>
      </c>
      <c r="AK13">
        <f t="shared" si="1"/>
        <v>640.00377101840559</v>
      </c>
    </row>
    <row r="14" spans="1:43" ht="12.75" customHeight="1" x14ac:dyDescent="0.3">
      <c r="B14" s="80" t="s">
        <v>70</v>
      </c>
      <c r="AC14">
        <f>AC15/$AE$1</f>
        <v>0.30769230769230771</v>
      </c>
      <c r="AD14">
        <f t="shared" si="0"/>
        <v>0.20509172087365982</v>
      </c>
      <c r="AJ14">
        <f>AJ15/$AN$1</f>
        <v>3.0769230769230766</v>
      </c>
      <c r="AK14">
        <f t="shared" si="1"/>
        <v>627.22105145766488</v>
      </c>
    </row>
    <row r="15" spans="1:43" ht="24.75" customHeight="1" x14ac:dyDescent="0.3">
      <c r="A15" s="7"/>
      <c r="B15" s="31" t="s">
        <v>15</v>
      </c>
      <c r="C15" s="32"/>
      <c r="D15" s="32"/>
      <c r="E15" s="31" t="s">
        <v>49</v>
      </c>
      <c r="F15" s="33"/>
      <c r="G15" s="70"/>
      <c r="H15" s="7"/>
      <c r="I15" s="31" t="s">
        <v>19</v>
      </c>
      <c r="J15" s="34"/>
      <c r="K15" s="6"/>
      <c r="L15" s="31" t="s">
        <v>13</v>
      </c>
      <c r="M15" s="34" t="s">
        <v>20</v>
      </c>
      <c r="N15" s="6"/>
      <c r="O15" s="31" t="s">
        <v>14</v>
      </c>
      <c r="P15" s="34" t="s">
        <v>48</v>
      </c>
      <c r="AC15">
        <f>$AC$2</f>
        <v>0.4</v>
      </c>
      <c r="AD15">
        <f t="shared" si="0"/>
        <v>3.9795559731735437E-2</v>
      </c>
      <c r="AJ15">
        <f>$AK$2</f>
        <v>4</v>
      </c>
      <c r="AK15">
        <f t="shared" si="1"/>
        <v>613.68934286001695</v>
      </c>
    </row>
    <row r="16" spans="1:43" x14ac:dyDescent="0.3">
      <c r="B16" s="29" t="s">
        <v>9</v>
      </c>
      <c r="C16" s="30">
        <f>COUNT(C25:C224)</f>
        <v>145</v>
      </c>
      <c r="E16" s="35" t="s">
        <v>50</v>
      </c>
      <c r="F16" s="36">
        <f>E11/E13</f>
        <v>0.88249718024518264</v>
      </c>
      <c r="I16" s="35" t="s">
        <v>50</v>
      </c>
      <c r="J16" s="36">
        <f>($E$13-I12)/$E$13</f>
        <v>0.89269902807284995</v>
      </c>
      <c r="L16" s="35" t="s">
        <v>50</v>
      </c>
      <c r="M16" s="36">
        <f>($E$13-L12)/$E$13</f>
        <v>0.89332278766533968</v>
      </c>
      <c r="O16" s="35" t="s">
        <v>50</v>
      </c>
      <c r="P16" s="36">
        <f>($E$13-O12)/$E$13</f>
        <v>0.9093819602403268</v>
      </c>
      <c r="Q16" s="6"/>
      <c r="AC16">
        <f>AC15*$AE$1</f>
        <v>0.52</v>
      </c>
      <c r="AD16">
        <f t="shared" si="0"/>
        <v>7.7205530019443724E-3</v>
      </c>
      <c r="AJ16">
        <f>AJ15*$AN$1</f>
        <v>5.2</v>
      </c>
      <c r="AK16">
        <f t="shared" si="1"/>
        <v>599.41285468057492</v>
      </c>
    </row>
    <row r="17" spans="1:43" x14ac:dyDescent="0.3">
      <c r="B17" s="29"/>
      <c r="E17" s="24" t="s">
        <v>52</v>
      </c>
      <c r="F17" s="25">
        <f>(F16/(1-F16)*((C16-1-COUNT(E3:E6))/(COUNT(E3:E6))))</f>
        <v>262.86519228246078</v>
      </c>
      <c r="I17" s="24"/>
      <c r="J17" s="25"/>
      <c r="L17" s="24"/>
      <c r="M17" s="25"/>
      <c r="O17" s="24"/>
      <c r="P17" s="25"/>
    </row>
    <row r="18" spans="1:43" x14ac:dyDescent="0.3">
      <c r="B18" s="26"/>
      <c r="C18" s="28"/>
      <c r="D18" s="28"/>
      <c r="E18" s="26" t="s">
        <v>51</v>
      </c>
      <c r="F18" s="27">
        <f>FDIST(F17,COUNT(E3:E6),(C16-1)-COUNT(E3:E6))</f>
        <v>5.0253412811721051E-64</v>
      </c>
      <c r="H18" s="1" t="s">
        <v>10</v>
      </c>
      <c r="I18" s="24">
        <v>1</v>
      </c>
      <c r="J18" s="25"/>
      <c r="L18" s="24">
        <v>2</v>
      </c>
      <c r="M18" s="25">
        <v>1</v>
      </c>
      <c r="O18" s="24">
        <v>2</v>
      </c>
      <c r="P18" s="25">
        <v>1</v>
      </c>
    </row>
    <row r="19" spans="1:43" x14ac:dyDescent="0.3">
      <c r="A19" s="18" t="s">
        <v>38</v>
      </c>
      <c r="B19" s="1"/>
      <c r="G19" s="1"/>
      <c r="H19" s="38" t="s">
        <v>11</v>
      </c>
      <c r="I19" s="26">
        <f>$C$16*LN(E12/I12)</f>
        <v>13.169570418959029</v>
      </c>
      <c r="J19" s="27"/>
      <c r="L19" s="26">
        <f>$C$16*LN(E12/L12)</f>
        <v>14.014940683341379</v>
      </c>
      <c r="M19" s="27">
        <f>$C$16*LN(I12/L12)</f>
        <v>0.84537026438233787</v>
      </c>
      <c r="O19" s="26">
        <f>$C$16*LN(E12/O12)</f>
        <v>37.672308427238079</v>
      </c>
      <c r="P19" s="27">
        <f>$C$16*LN(I12/O12)</f>
        <v>24.502738008279046</v>
      </c>
      <c r="AD19" t="s">
        <v>0</v>
      </c>
      <c r="AK19" t="s">
        <v>0</v>
      </c>
    </row>
    <row r="20" spans="1:43" x14ac:dyDescent="0.3">
      <c r="A20" s="18" t="s">
        <v>39</v>
      </c>
      <c r="B20" s="20" t="s">
        <v>73</v>
      </c>
      <c r="C20" s="12"/>
      <c r="D20" s="12"/>
      <c r="G20" s="1"/>
      <c r="H20" s="38" t="s">
        <v>12</v>
      </c>
      <c r="I20" s="26">
        <f>CHIDIST(I19,I18)</f>
        <v>2.8453195766919306E-4</v>
      </c>
      <c r="J20" s="27"/>
      <c r="L20" s="17">
        <f>CHIDIST(L19,L18)</f>
        <v>9.0509527671218612E-4</v>
      </c>
      <c r="M20" s="16">
        <f>CHIDIST(M19,M18)</f>
        <v>0.35786537553142173</v>
      </c>
      <c r="O20" s="17">
        <f>CHIDIST(O19,O18)</f>
        <v>6.6002770361611047E-9</v>
      </c>
      <c r="P20" s="16">
        <f>CHIDIST(P19,P18)</f>
        <v>7.4204314750288725E-7</v>
      </c>
      <c r="AC20">
        <v>0</v>
      </c>
      <c r="AD20">
        <f>$I$2/(1+(AC20/$I$5)^$I$3)</f>
        <v>797.49871926529715</v>
      </c>
      <c r="AE20" s="1"/>
      <c r="AG20" s="1"/>
      <c r="AJ20">
        <v>0</v>
      </c>
      <c r="AK20">
        <f>$I$2/(1+(AJ20/$I$6)^$I$4)</f>
        <v>797.49871926529715</v>
      </c>
      <c r="AM20" s="1"/>
      <c r="AP20" s="1"/>
    </row>
    <row r="21" spans="1:43" x14ac:dyDescent="0.3">
      <c r="A21" s="18" t="s">
        <v>40</v>
      </c>
      <c r="B21" s="12" t="s">
        <v>74</v>
      </c>
      <c r="C21" s="13"/>
      <c r="D21" s="12"/>
      <c r="AC21">
        <f>AC22/$AE$1</f>
        <v>2.9015260114562277E-2</v>
      </c>
      <c r="AD21">
        <f>$I$2/(1+(AC21/$I$5)^$I$3)</f>
        <v>796.95073432091021</v>
      </c>
      <c r="AE21" s="5"/>
      <c r="AF21" s="3"/>
      <c r="AG21" s="3"/>
      <c r="AH21" s="3"/>
      <c r="AI21" s="3"/>
      <c r="AJ21">
        <f t="shared" ref="AJ21:AJ25" si="4">AJ22/$AN$1</f>
        <v>0.2901526011456228</v>
      </c>
      <c r="AK21">
        <f>$I$2/(1+(AJ21/$I$6)^$I$4)</f>
        <v>714.10902865508524</v>
      </c>
      <c r="AL21" s="3"/>
      <c r="AM21" s="3"/>
      <c r="AN21" s="3"/>
      <c r="AO21" s="3"/>
      <c r="AP21" s="3"/>
      <c r="AQ21" s="3"/>
    </row>
    <row r="22" spans="1:43" x14ac:dyDescent="0.3">
      <c r="A22" s="18" t="s">
        <v>41</v>
      </c>
      <c r="B22" s="12" t="s">
        <v>75</v>
      </c>
      <c r="C22" s="12"/>
      <c r="D22" s="12"/>
      <c r="F22" t="s">
        <v>18</v>
      </c>
      <c r="AC22">
        <f>AC23/$AE$1</f>
        <v>3.7719838148930963E-2</v>
      </c>
      <c r="AD22">
        <f>$I$2/(1+(AC22/$I$5)^$I$3)</f>
        <v>793.50808670727247</v>
      </c>
      <c r="AE22" s="5"/>
      <c r="AF22" s="3"/>
      <c r="AG22" s="3"/>
      <c r="AH22" s="3"/>
      <c r="AI22" s="3"/>
      <c r="AJ22">
        <f t="shared" si="4"/>
        <v>0.37719838148930962</v>
      </c>
      <c r="AK22">
        <f>$I$2/(1+(AJ22/$I$6)^$I$4)</f>
        <v>706.62866484363872</v>
      </c>
      <c r="AL22" s="3"/>
      <c r="AM22" s="3"/>
      <c r="AN22" s="3"/>
      <c r="AO22" s="3"/>
      <c r="AP22" s="3"/>
      <c r="AQ22" s="3"/>
    </row>
    <row r="23" spans="1:43" x14ac:dyDescent="0.3">
      <c r="A23" s="19" t="s">
        <v>27</v>
      </c>
      <c r="B23" s="19" t="s">
        <v>28</v>
      </c>
      <c r="AC23">
        <f>AC24/$AE$1</f>
        <v>4.9035789593610254E-2</v>
      </c>
      <c r="AD23">
        <f>$I$2/(1+(AC23/$I$5)^$I$3)</f>
        <v>769.2052717156555</v>
      </c>
      <c r="AE23" s="5"/>
      <c r="AF23" s="3"/>
      <c r="AG23" s="3"/>
      <c r="AH23" s="3"/>
      <c r="AI23" s="3"/>
      <c r="AJ23">
        <f t="shared" si="4"/>
        <v>0.49035789593610252</v>
      </c>
      <c r="AK23">
        <f>$I$2/(1+(AJ23/$I$6)^$I$4)</f>
        <v>698.57024338286237</v>
      </c>
      <c r="AL23" s="3"/>
      <c r="AM23" s="3"/>
      <c r="AN23" s="3"/>
      <c r="AO23" s="3"/>
      <c r="AP23" s="3"/>
      <c r="AQ23" s="3"/>
    </row>
    <row r="24" spans="1:43" x14ac:dyDescent="0.3">
      <c r="A24" s="12" t="s">
        <v>76</v>
      </c>
      <c r="B24" s="23" t="s">
        <v>71</v>
      </c>
      <c r="C24" s="1" t="s">
        <v>1</v>
      </c>
      <c r="D24" s="1"/>
      <c r="E24" s="1" t="s">
        <v>3</v>
      </c>
      <c r="F24" t="s">
        <v>47</v>
      </c>
      <c r="G24" t="s">
        <v>54</v>
      </c>
      <c r="H24" s="1"/>
      <c r="I24" s="1" t="s">
        <v>4</v>
      </c>
      <c r="J24" t="s">
        <v>47</v>
      </c>
      <c r="K24" s="1"/>
      <c r="L24" s="1" t="s">
        <v>7</v>
      </c>
      <c r="M24" t="s">
        <v>47</v>
      </c>
      <c r="N24" s="1"/>
      <c r="O24" s="1" t="s">
        <v>8</v>
      </c>
      <c r="P24" t="s">
        <v>47</v>
      </c>
      <c r="AC24">
        <f t="shared" ref="AC24:AC25" si="5">AC25/$AE$1</f>
        <v>6.3746526471693335E-2</v>
      </c>
      <c r="AD24">
        <f t="shared" ref="AD24:AD37" si="6">$I$2/(1+(AC24/$I$5)^$I$3)</f>
        <v>628.43291525396739</v>
      </c>
      <c r="AE24" s="5"/>
      <c r="AF24" s="3"/>
      <c r="AG24" s="3"/>
      <c r="AH24" s="3"/>
      <c r="AI24" s="3"/>
      <c r="AJ24">
        <f t="shared" si="4"/>
        <v>0.63746526471693332</v>
      </c>
      <c r="AK24">
        <f t="shared" ref="AK24:AK37" si="7">$I$2/(1+(AJ24/$I$6)^$I$4)</f>
        <v>689.9060058322118</v>
      </c>
      <c r="AL24" s="3"/>
      <c r="AM24" s="3"/>
      <c r="AN24" s="3"/>
      <c r="AO24" s="3"/>
      <c r="AP24" s="3"/>
      <c r="AQ24" s="3"/>
    </row>
    <row r="25" spans="1:43" x14ac:dyDescent="0.3">
      <c r="A25" s="10">
        <v>0</v>
      </c>
      <c r="B25" s="10">
        <v>0</v>
      </c>
      <c r="C25" s="81">
        <v>699</v>
      </c>
      <c r="D25" s="11"/>
      <c r="E25" s="11">
        <f>CA(A25,B25,$E$2,$E$3,$E$4,$E$5,$E$6)</f>
        <v>796.01307517485134</v>
      </c>
      <c r="F25" s="10">
        <f>($C25-E25)^2</f>
        <v>9411.5367548813574</v>
      </c>
      <c r="G25" s="11">
        <f>AVERAGE($C$25:$C$224)</f>
        <v>532.58620689655174</v>
      </c>
      <c r="H25" s="11"/>
      <c r="I25" s="11">
        <f>CA_SA(A25,B25,$I$2,$I$3,$I$4,$I$5,$I$6,$I$7)</f>
        <v>797.49871926529715</v>
      </c>
      <c r="J25" s="10">
        <f>($C25-I25)^2</f>
        <v>9701.9976969038216</v>
      </c>
      <c r="K25" s="11"/>
      <c r="L25" s="11">
        <f>CA_DR(A25,B25,$L$2,$L$3,$L$4,$L$5,$L$6,$L$7,$L$8)</f>
        <v>797.10101304089233</v>
      </c>
      <c r="M25" s="10">
        <f>($C25-L25)^2</f>
        <v>9623.808759649326</v>
      </c>
      <c r="N25" s="11"/>
      <c r="O25" s="11">
        <f>CA_DL(A25,B25,$O$2,$O$3,$O$4,$O$5,$O$6,$O$7,$O$8)</f>
        <v>806.96924373930676</v>
      </c>
      <c r="P25" s="10">
        <f>($C25-O25)^2</f>
        <v>11657.357593637833</v>
      </c>
      <c r="Q25" s="3" t="s">
        <v>30</v>
      </c>
      <c r="AC25">
        <f t="shared" si="5"/>
        <v>8.2870484413201342E-2</v>
      </c>
      <c r="AD25">
        <f t="shared" si="6"/>
        <v>268.72980307895097</v>
      </c>
      <c r="AE25" s="5"/>
      <c r="AF25" s="3"/>
      <c r="AG25" s="3"/>
      <c r="AH25" s="3"/>
      <c r="AI25" s="3"/>
      <c r="AJ25">
        <f t="shared" si="4"/>
        <v>0.82870484413201329</v>
      </c>
      <c r="AK25">
        <f t="shared" si="7"/>
        <v>680.60991752561006</v>
      </c>
      <c r="AL25" s="3"/>
      <c r="AM25" s="3"/>
      <c r="AN25" s="3"/>
      <c r="AO25" s="3"/>
      <c r="AP25" s="3"/>
      <c r="AQ25" s="3"/>
    </row>
    <row r="26" spans="1:43" x14ac:dyDescent="0.3">
      <c r="A26" s="10">
        <v>0</v>
      </c>
      <c r="B26" s="10">
        <v>0</v>
      </c>
      <c r="C26" s="81">
        <v>718</v>
      </c>
      <c r="D26" s="11"/>
      <c r="E26" s="11">
        <f t="shared" ref="E26:E44" si="8">CA(A26,B26,$E$2,$E$3,$E$4,$E$5,$E$6)</f>
        <v>796.01307517485134</v>
      </c>
      <c r="F26" s="10">
        <f t="shared" ref="F26:F44" si="9">($C26-E26)^2</f>
        <v>6086.0398982370061</v>
      </c>
      <c r="G26" s="11">
        <f t="shared" ref="G26:G44" si="10">AVERAGE($C$25:$C$224)</f>
        <v>532.58620689655174</v>
      </c>
      <c r="H26" s="11"/>
      <c r="I26" s="11">
        <f t="shared" ref="I26:I44" si="11">CA_SA(A26,B26,$I$2,$I$3,$I$4,$I$5,$I$6,$I$7)</f>
        <v>797.49871926529715</v>
      </c>
      <c r="J26" s="10">
        <f t="shared" ref="J26:J44" si="12">($C26-I26)^2</f>
        <v>6320.0463648225286</v>
      </c>
      <c r="K26" s="11"/>
      <c r="L26" s="11">
        <f t="shared" ref="L26:L44" si="13">CA_DR(A26,B26,$L$2,$L$3,$L$4,$L$5,$L$6,$L$7,$L$8)</f>
        <v>797.10101304089233</v>
      </c>
      <c r="M26" s="10">
        <f t="shared" ref="M26:M44" si="14">($C26-L26)^2</f>
        <v>6256.9702640954174</v>
      </c>
      <c r="N26" s="11"/>
      <c r="O26" s="11">
        <f t="shared" ref="O26:O44" si="15">CA_DL(A26,B26,$O$2,$O$3,$O$4,$O$5,$O$6,$O$7,$O$8)</f>
        <v>806.96924373930676</v>
      </c>
      <c r="P26" s="10">
        <f t="shared" ref="P26:P44" si="16">($C26-O26)^2</f>
        <v>7915.5263315441753</v>
      </c>
      <c r="Q26" s="3"/>
      <c r="AC26">
        <f>AC28/$AE$1</f>
        <v>0.10773162973716174</v>
      </c>
      <c r="AD26">
        <f t="shared" si="6"/>
        <v>51.814536200125403</v>
      </c>
      <c r="AE26" s="5"/>
      <c r="AF26" s="3"/>
      <c r="AG26" s="3"/>
      <c r="AH26" s="3"/>
      <c r="AI26" s="3"/>
      <c r="AJ26">
        <f>AJ28/$AN$1</f>
        <v>1.0773162973716173</v>
      </c>
      <c r="AK26">
        <f t="shared" si="7"/>
        <v>670.65830810239856</v>
      </c>
      <c r="AL26" s="3"/>
      <c r="AM26" s="3"/>
      <c r="AN26" s="3"/>
      <c r="AO26" s="3"/>
      <c r="AP26" s="3"/>
      <c r="AQ26" s="3"/>
    </row>
    <row r="27" spans="1:43" x14ac:dyDescent="0.3">
      <c r="A27" s="10">
        <v>0</v>
      </c>
      <c r="B27" s="10">
        <v>0</v>
      </c>
      <c r="C27" s="81">
        <v>631</v>
      </c>
      <c r="D27" s="11"/>
      <c r="E27" s="11">
        <f t="shared" si="8"/>
        <v>796.01307517485134</v>
      </c>
      <c r="F27" s="10">
        <f t="shared" si="9"/>
        <v>27229.314978661139</v>
      </c>
      <c r="G27" s="11">
        <f t="shared" si="10"/>
        <v>532.58620689655174</v>
      </c>
      <c r="H27" s="11"/>
      <c r="I27" s="11">
        <f t="shared" si="11"/>
        <v>797.49871926529715</v>
      </c>
      <c r="J27" s="10">
        <f t="shared" si="12"/>
        <v>27721.823516984234</v>
      </c>
      <c r="K27" s="11"/>
      <c r="L27" s="11">
        <f t="shared" si="13"/>
        <v>797.10101304089233</v>
      </c>
      <c r="M27" s="10">
        <f t="shared" si="14"/>
        <v>27589.546533210683</v>
      </c>
      <c r="N27" s="11"/>
      <c r="O27" s="11">
        <f t="shared" si="15"/>
        <v>806.96924373930676</v>
      </c>
      <c r="P27" s="10">
        <f t="shared" si="16"/>
        <v>30965.174742183553</v>
      </c>
      <c r="Q27" s="3"/>
      <c r="AE27" s="5"/>
      <c r="AF27" s="3"/>
      <c r="AG27" s="3"/>
      <c r="AH27" s="3"/>
      <c r="AI27" s="3"/>
      <c r="AL27" s="3"/>
      <c r="AM27" s="3"/>
      <c r="AN27" s="3"/>
      <c r="AO27" s="3"/>
      <c r="AP27" s="3"/>
      <c r="AQ27" s="3"/>
    </row>
    <row r="28" spans="1:43" x14ac:dyDescent="0.3">
      <c r="A28" s="10">
        <v>0</v>
      </c>
      <c r="B28" s="10">
        <v>0</v>
      </c>
      <c r="C28" s="81">
        <v>619</v>
      </c>
      <c r="D28" s="11"/>
      <c r="E28" s="11">
        <f t="shared" si="8"/>
        <v>796.01307517485134</v>
      </c>
      <c r="F28" s="10">
        <f t="shared" si="9"/>
        <v>31333.62878285757</v>
      </c>
      <c r="G28" s="11">
        <f t="shared" si="10"/>
        <v>532.58620689655174</v>
      </c>
      <c r="H28" s="11"/>
      <c r="I28" s="11">
        <f t="shared" si="11"/>
        <v>797.49871926529715</v>
      </c>
      <c r="J28" s="10">
        <f t="shared" si="12"/>
        <v>31861.792779351366</v>
      </c>
      <c r="K28" s="11"/>
      <c r="L28" s="11">
        <f t="shared" si="13"/>
        <v>797.10101304089233</v>
      </c>
      <c r="M28" s="10">
        <f t="shared" si="14"/>
        <v>31719.9708461921</v>
      </c>
      <c r="N28" s="11"/>
      <c r="O28" s="11">
        <f t="shared" si="15"/>
        <v>806.96924373930676</v>
      </c>
      <c r="P28" s="10">
        <f t="shared" si="16"/>
        <v>35332.436591926911</v>
      </c>
      <c r="Q28" s="3"/>
      <c r="AC28">
        <f>AC30/$AE$1</f>
        <v>0.14005111865831027</v>
      </c>
      <c r="AD28">
        <f t="shared" si="6"/>
        <v>7.5052806221688559</v>
      </c>
      <c r="AE28" s="5"/>
      <c r="AF28" s="3"/>
      <c r="AG28" s="3"/>
      <c r="AH28" s="3"/>
      <c r="AI28" s="3"/>
      <c r="AJ28">
        <f>AJ30/$AN$1</f>
        <v>1.4005111865831026</v>
      </c>
      <c r="AK28">
        <f t="shared" si="7"/>
        <v>660.03057107324605</v>
      </c>
      <c r="AL28" s="3"/>
      <c r="AM28" s="3"/>
      <c r="AN28" s="3"/>
      <c r="AO28" s="3"/>
      <c r="AP28" s="3"/>
      <c r="AQ28" s="3"/>
    </row>
    <row r="29" spans="1:43" x14ac:dyDescent="0.3">
      <c r="A29" s="10">
        <v>0</v>
      </c>
      <c r="B29" s="10">
        <v>0</v>
      </c>
      <c r="C29" s="81">
        <v>797</v>
      </c>
      <c r="D29" s="11"/>
      <c r="E29" s="11">
        <f t="shared" si="8"/>
        <v>796.01307517485134</v>
      </c>
      <c r="F29" s="10">
        <f t="shared" si="9"/>
        <v>0.97402061049471789</v>
      </c>
      <c r="G29" s="11">
        <f t="shared" si="10"/>
        <v>532.58620689655174</v>
      </c>
      <c r="H29" s="11"/>
      <c r="I29" s="11">
        <f t="shared" si="11"/>
        <v>797.49871926529715</v>
      </c>
      <c r="J29" s="10">
        <f t="shared" si="12"/>
        <v>0.24872090557853346</v>
      </c>
      <c r="K29" s="11"/>
      <c r="L29" s="11">
        <f t="shared" si="13"/>
        <v>797.10101304089233</v>
      </c>
      <c r="M29" s="10">
        <f t="shared" si="14"/>
        <v>1.0203634430314723E-2</v>
      </c>
      <c r="N29" s="11"/>
      <c r="O29" s="11">
        <f t="shared" si="15"/>
        <v>806.96924373930676</v>
      </c>
      <c r="P29" s="10">
        <f t="shared" si="16"/>
        <v>99.385820733707078</v>
      </c>
      <c r="Q29" s="3"/>
      <c r="AE29" s="5"/>
      <c r="AF29" s="3"/>
      <c r="AG29" s="3"/>
      <c r="AH29" s="3"/>
      <c r="AI29" s="3"/>
      <c r="AL29" s="3"/>
      <c r="AM29" s="3"/>
      <c r="AN29" s="3"/>
      <c r="AO29" s="3"/>
      <c r="AP29" s="3"/>
      <c r="AQ29" s="3"/>
    </row>
    <row r="30" spans="1:43" x14ac:dyDescent="0.3">
      <c r="A30" s="10">
        <v>0</v>
      </c>
      <c r="B30" s="10">
        <v>0</v>
      </c>
      <c r="C30" s="81">
        <v>704</v>
      </c>
      <c r="D30" s="11"/>
      <c r="E30" s="11">
        <f t="shared" si="8"/>
        <v>796.01307517485134</v>
      </c>
      <c r="F30" s="10">
        <f t="shared" si="9"/>
        <v>8466.4060031328427</v>
      </c>
      <c r="G30" s="11">
        <f t="shared" si="10"/>
        <v>532.58620689655174</v>
      </c>
      <c r="H30" s="11"/>
      <c r="I30" s="11">
        <f t="shared" si="11"/>
        <v>797.49871926529715</v>
      </c>
      <c r="J30" s="10">
        <f t="shared" si="12"/>
        <v>8742.0105042508494</v>
      </c>
      <c r="K30" s="11"/>
      <c r="L30" s="11">
        <f t="shared" si="13"/>
        <v>797.10101304089233</v>
      </c>
      <c r="M30" s="10">
        <f t="shared" si="14"/>
        <v>8667.7986292404021</v>
      </c>
      <c r="N30" s="11"/>
      <c r="O30" s="11">
        <f t="shared" si="15"/>
        <v>806.96924373930676</v>
      </c>
      <c r="P30" s="10">
        <f t="shared" si="16"/>
        <v>10602.665156244764</v>
      </c>
      <c r="Q30" s="3"/>
      <c r="AC30">
        <f>AC32/$AE$1</f>
        <v>0.18206645425580337</v>
      </c>
      <c r="AD30">
        <f t="shared" si="6"/>
        <v>1.0345618377024344</v>
      </c>
      <c r="AE30" s="5"/>
      <c r="AF30" s="3"/>
      <c r="AG30" s="3"/>
      <c r="AH30" s="3"/>
      <c r="AI30" s="3"/>
      <c r="AJ30">
        <f>AJ32/$AN$1</f>
        <v>1.8206645425580334</v>
      </c>
      <c r="AK30">
        <f t="shared" si="7"/>
        <v>648.70991170040418</v>
      </c>
      <c r="AL30" s="3"/>
      <c r="AM30" s="3"/>
      <c r="AN30" s="3"/>
      <c r="AO30" s="3"/>
      <c r="AP30" s="3"/>
      <c r="AQ30" s="3"/>
    </row>
    <row r="31" spans="1:43" x14ac:dyDescent="0.3">
      <c r="A31" s="10">
        <v>0</v>
      </c>
      <c r="B31" s="10">
        <v>0</v>
      </c>
      <c r="C31" s="81">
        <v>574</v>
      </c>
      <c r="D31" s="11"/>
      <c r="E31" s="11">
        <f t="shared" si="8"/>
        <v>796.01307517485134</v>
      </c>
      <c r="F31" s="10">
        <f t="shared" si="9"/>
        <v>49289.805548594188</v>
      </c>
      <c r="G31" s="11">
        <f t="shared" si="10"/>
        <v>532.58620689655174</v>
      </c>
      <c r="H31" s="11"/>
      <c r="I31" s="11">
        <f t="shared" si="11"/>
        <v>797.49871926529715</v>
      </c>
      <c r="J31" s="10">
        <f t="shared" si="12"/>
        <v>49951.677513228111</v>
      </c>
      <c r="K31" s="11"/>
      <c r="L31" s="11">
        <f t="shared" si="13"/>
        <v>797.10101304089233</v>
      </c>
      <c r="M31" s="10">
        <f t="shared" si="14"/>
        <v>49774.062019872406</v>
      </c>
      <c r="N31" s="11"/>
      <c r="O31" s="11">
        <f t="shared" si="15"/>
        <v>806.96924373930676</v>
      </c>
      <c r="P31" s="10">
        <f t="shared" si="16"/>
        <v>54274.668528464521</v>
      </c>
      <c r="Q31" s="3"/>
      <c r="AE31" s="5"/>
      <c r="AF31" s="3"/>
      <c r="AG31" s="3"/>
      <c r="AH31" s="3"/>
      <c r="AI31" s="3"/>
      <c r="AL31" s="3"/>
      <c r="AM31" s="3"/>
      <c r="AN31" s="3"/>
      <c r="AO31" s="3"/>
      <c r="AP31" s="3"/>
      <c r="AQ31" s="3"/>
    </row>
    <row r="32" spans="1:43" x14ac:dyDescent="0.3">
      <c r="A32" s="10">
        <v>0</v>
      </c>
      <c r="B32" s="10">
        <v>0</v>
      </c>
      <c r="C32" s="81">
        <v>872</v>
      </c>
      <c r="D32" s="11"/>
      <c r="E32" s="11">
        <f t="shared" si="8"/>
        <v>796.01307517485134</v>
      </c>
      <c r="F32" s="10">
        <f t="shared" si="9"/>
        <v>5774.0127443827942</v>
      </c>
      <c r="G32" s="11">
        <f t="shared" si="10"/>
        <v>532.58620689655174</v>
      </c>
      <c r="H32" s="11"/>
      <c r="I32" s="11">
        <f t="shared" si="11"/>
        <v>797.49871926529715</v>
      </c>
      <c r="J32" s="10">
        <f t="shared" si="12"/>
        <v>5550.4408311110055</v>
      </c>
      <c r="K32" s="11"/>
      <c r="L32" s="11">
        <f t="shared" si="13"/>
        <v>797.10101304089233</v>
      </c>
      <c r="M32" s="10">
        <f t="shared" si="14"/>
        <v>5609.8582475005815</v>
      </c>
      <c r="N32" s="11"/>
      <c r="O32" s="11">
        <f t="shared" si="15"/>
        <v>806.96924373930676</v>
      </c>
      <c r="P32" s="10">
        <f t="shared" si="16"/>
        <v>4228.999259837693</v>
      </c>
      <c r="Q32" s="3"/>
      <c r="AC32">
        <f>AC34/$AE$1</f>
        <v>0.23668639053254439</v>
      </c>
      <c r="AD32">
        <f t="shared" si="6"/>
        <v>0.14160867412360761</v>
      </c>
      <c r="AE32" s="5"/>
      <c r="AF32" s="3"/>
      <c r="AG32" s="3"/>
      <c r="AH32" s="3"/>
      <c r="AI32" s="3"/>
      <c r="AJ32">
        <f>AJ34/$AN$1</f>
        <v>2.3668639053254434</v>
      </c>
      <c r="AK32">
        <f t="shared" si="7"/>
        <v>636.68412785033559</v>
      </c>
      <c r="AL32" s="3"/>
      <c r="AM32" s="3"/>
      <c r="AN32" s="3"/>
      <c r="AO32" s="3"/>
      <c r="AP32" s="3"/>
      <c r="AQ32" s="3"/>
    </row>
    <row r="33" spans="1:43" x14ac:dyDescent="0.3">
      <c r="A33" s="10">
        <v>0</v>
      </c>
      <c r="B33" s="10">
        <v>0</v>
      </c>
      <c r="C33" s="81">
        <v>856</v>
      </c>
      <c r="D33" s="11"/>
      <c r="E33" s="11">
        <f t="shared" si="8"/>
        <v>796.01307517485134</v>
      </c>
      <c r="F33" s="10">
        <f t="shared" si="9"/>
        <v>3598.431149978037</v>
      </c>
      <c r="G33" s="11">
        <f t="shared" si="10"/>
        <v>532.58620689655174</v>
      </c>
      <c r="H33" s="11"/>
      <c r="I33" s="11">
        <f t="shared" si="11"/>
        <v>797.49871926529715</v>
      </c>
      <c r="J33" s="10">
        <f t="shared" si="12"/>
        <v>3422.3998476005145</v>
      </c>
      <c r="K33" s="11"/>
      <c r="L33" s="11">
        <f t="shared" si="13"/>
        <v>797.10101304089233</v>
      </c>
      <c r="M33" s="10">
        <f t="shared" si="14"/>
        <v>3469.0906648091359</v>
      </c>
      <c r="N33" s="11"/>
      <c r="O33" s="11">
        <f t="shared" si="15"/>
        <v>806.96924373930676</v>
      </c>
      <c r="P33" s="10">
        <f t="shared" si="16"/>
        <v>2404.0150594955089</v>
      </c>
      <c r="Q33" s="3"/>
      <c r="AE33" s="5"/>
      <c r="AF33" s="3"/>
      <c r="AG33" s="3"/>
      <c r="AH33" s="3"/>
      <c r="AI33" s="3"/>
      <c r="AL33" s="3"/>
      <c r="AM33" s="3"/>
      <c r="AN33" s="3"/>
      <c r="AO33" s="3"/>
      <c r="AP33" s="3"/>
      <c r="AQ33" s="3"/>
    </row>
    <row r="34" spans="1:43" x14ac:dyDescent="0.3">
      <c r="A34" s="10">
        <v>0</v>
      </c>
      <c r="B34" s="10">
        <v>0</v>
      </c>
      <c r="C34" s="81">
        <v>709</v>
      </c>
      <c r="D34" s="11"/>
      <c r="E34" s="11">
        <f t="shared" si="8"/>
        <v>796.01307517485134</v>
      </c>
      <c r="F34" s="10">
        <f t="shared" si="9"/>
        <v>7571.2752513843297</v>
      </c>
      <c r="G34" s="11">
        <f t="shared" si="10"/>
        <v>532.58620689655174</v>
      </c>
      <c r="H34" s="11"/>
      <c r="I34" s="11">
        <f t="shared" si="11"/>
        <v>797.49871926529715</v>
      </c>
      <c r="J34" s="10">
        <f t="shared" si="12"/>
        <v>7832.0233115978781</v>
      </c>
      <c r="K34" s="11"/>
      <c r="L34" s="11">
        <f t="shared" si="13"/>
        <v>797.10101304089233</v>
      </c>
      <c r="M34" s="10">
        <f t="shared" si="14"/>
        <v>7761.78849883148</v>
      </c>
      <c r="N34" s="11"/>
      <c r="O34" s="11">
        <f t="shared" si="15"/>
        <v>806.96924373930676</v>
      </c>
      <c r="P34" s="10">
        <f t="shared" si="16"/>
        <v>9597.9727188516972</v>
      </c>
      <c r="Q34" s="3"/>
      <c r="AC34">
        <f>AC36/$AE$1</f>
        <v>0.30769230769230771</v>
      </c>
      <c r="AD34">
        <f t="shared" si="6"/>
        <v>1.9364362364747763E-2</v>
      </c>
      <c r="AE34" s="5"/>
      <c r="AF34" s="3"/>
      <c r="AG34" s="3"/>
      <c r="AH34" s="3"/>
      <c r="AI34" s="3"/>
      <c r="AJ34">
        <f>AJ36/$AN$1</f>
        <v>3.0769230769230766</v>
      </c>
      <c r="AK34">
        <f t="shared" si="7"/>
        <v>623.94640355344927</v>
      </c>
      <c r="AL34" s="3"/>
      <c r="AM34" s="3"/>
      <c r="AN34" s="3"/>
      <c r="AO34" s="3"/>
      <c r="AP34" s="3"/>
      <c r="AQ34" s="3"/>
    </row>
    <row r="35" spans="1:43" x14ac:dyDescent="0.3">
      <c r="A35" s="10">
        <v>0</v>
      </c>
      <c r="B35" s="10">
        <v>0</v>
      </c>
      <c r="C35" s="81">
        <v>836</v>
      </c>
      <c r="D35" s="11"/>
      <c r="E35" s="11">
        <f t="shared" si="8"/>
        <v>796.01307517485134</v>
      </c>
      <c r="F35" s="10">
        <f t="shared" si="9"/>
        <v>1598.9541569720905</v>
      </c>
      <c r="G35" s="11">
        <f t="shared" si="10"/>
        <v>532.58620689655174</v>
      </c>
      <c r="H35" s="11"/>
      <c r="I35" s="11">
        <f t="shared" si="11"/>
        <v>797.49871926529715</v>
      </c>
      <c r="J35" s="10">
        <f t="shared" si="12"/>
        <v>1482.3486182124004</v>
      </c>
      <c r="K35" s="11"/>
      <c r="L35" s="11">
        <f t="shared" si="13"/>
        <v>797.10101304089233</v>
      </c>
      <c r="M35" s="10">
        <f t="shared" si="14"/>
        <v>1513.1311864448289</v>
      </c>
      <c r="N35" s="11"/>
      <c r="O35" s="11">
        <f t="shared" si="15"/>
        <v>806.96924373930676</v>
      </c>
      <c r="P35" s="10">
        <f t="shared" si="16"/>
        <v>842.78480906777963</v>
      </c>
      <c r="Q35" s="3"/>
      <c r="AE35" s="5"/>
      <c r="AF35" s="3"/>
      <c r="AG35" s="3"/>
      <c r="AH35" s="3"/>
      <c r="AI35" s="3"/>
      <c r="AL35" s="3"/>
      <c r="AM35" s="3"/>
      <c r="AN35" s="3"/>
      <c r="AO35" s="3"/>
      <c r="AP35" s="3"/>
      <c r="AQ35" s="3"/>
    </row>
    <row r="36" spans="1:43" x14ac:dyDescent="0.3">
      <c r="A36" s="10">
        <v>0</v>
      </c>
      <c r="B36" s="10">
        <v>0</v>
      </c>
      <c r="C36" s="81">
        <v>747</v>
      </c>
      <c r="D36" s="11"/>
      <c r="E36" s="11">
        <f t="shared" si="8"/>
        <v>796.01307517485134</v>
      </c>
      <c r="F36" s="10">
        <f t="shared" si="9"/>
        <v>2402.2815380956285</v>
      </c>
      <c r="G36" s="11">
        <f t="shared" si="10"/>
        <v>532.58620689655174</v>
      </c>
      <c r="H36" s="11"/>
      <c r="I36" s="11">
        <f t="shared" si="11"/>
        <v>797.49871926529715</v>
      </c>
      <c r="J36" s="10">
        <f t="shared" si="12"/>
        <v>2550.1206474352939</v>
      </c>
      <c r="K36" s="11"/>
      <c r="L36" s="11">
        <f t="shared" si="13"/>
        <v>797.10101304089233</v>
      </c>
      <c r="M36" s="10">
        <f t="shared" si="14"/>
        <v>2510.1115077236627</v>
      </c>
      <c r="N36" s="11"/>
      <c r="O36" s="11">
        <f t="shared" si="15"/>
        <v>806.96924373930676</v>
      </c>
      <c r="P36" s="10">
        <f t="shared" si="16"/>
        <v>3596.3101946643833</v>
      </c>
      <c r="Q36" s="3"/>
      <c r="AC36">
        <f>$AC$2</f>
        <v>0.4</v>
      </c>
      <c r="AD36">
        <f t="shared" si="6"/>
        <v>2.6476408407980299E-3</v>
      </c>
      <c r="AE36" s="5"/>
      <c r="AF36" s="3"/>
      <c r="AG36" s="3"/>
      <c r="AH36" s="3"/>
      <c r="AI36" s="3"/>
      <c r="AJ36">
        <f>$AK$2</f>
        <v>4</v>
      </c>
      <c r="AK36">
        <f t="shared" si="7"/>
        <v>610.49609006011394</v>
      </c>
      <c r="AL36" s="3"/>
      <c r="AM36" s="3"/>
      <c r="AN36" s="3"/>
      <c r="AO36" s="3"/>
      <c r="AP36" s="3"/>
      <c r="AQ36" s="3"/>
    </row>
    <row r="37" spans="1:43" x14ac:dyDescent="0.3">
      <c r="A37" s="10">
        <v>0</v>
      </c>
      <c r="B37" s="10">
        <v>0</v>
      </c>
      <c r="C37" s="81">
        <v>868</v>
      </c>
      <c r="D37" s="11"/>
      <c r="E37" s="11">
        <f t="shared" si="8"/>
        <v>796.01307517485134</v>
      </c>
      <c r="F37" s="10">
        <f t="shared" si="9"/>
        <v>5182.1173457816049</v>
      </c>
      <c r="G37" s="11">
        <f t="shared" si="10"/>
        <v>532.58620689655174</v>
      </c>
      <c r="H37" s="11"/>
      <c r="I37" s="11">
        <f t="shared" si="11"/>
        <v>797.49871926529715</v>
      </c>
      <c r="J37" s="10">
        <f t="shared" si="12"/>
        <v>4970.4305852333828</v>
      </c>
      <c r="K37" s="11"/>
      <c r="L37" s="11">
        <f t="shared" si="13"/>
        <v>797.10101304089233</v>
      </c>
      <c r="M37" s="10">
        <f t="shared" si="14"/>
        <v>5026.6663518277201</v>
      </c>
      <c r="N37" s="11"/>
      <c r="O37" s="11">
        <f t="shared" si="15"/>
        <v>806.96924373930676</v>
      </c>
      <c r="P37" s="10">
        <f t="shared" si="16"/>
        <v>3724.7532097521466</v>
      </c>
      <c r="Q37" s="3"/>
      <c r="AC37">
        <f>AC36*$AE$1</f>
        <v>0.52</v>
      </c>
      <c r="AD37">
        <f t="shared" si="6"/>
        <v>3.6199876040351656E-4</v>
      </c>
      <c r="AE37" s="5"/>
      <c r="AF37" s="3"/>
      <c r="AG37" s="3"/>
      <c r="AH37" s="3"/>
      <c r="AI37" s="3"/>
      <c r="AJ37">
        <f>AJ36*$AN$1</f>
        <v>5.2</v>
      </c>
      <c r="AK37">
        <f t="shared" si="7"/>
        <v>596.3394445828045</v>
      </c>
      <c r="AL37" s="3"/>
      <c r="AM37" s="3"/>
      <c r="AN37" s="3"/>
      <c r="AO37" s="3"/>
      <c r="AP37" s="3"/>
      <c r="AQ37" s="3"/>
    </row>
    <row r="38" spans="1:43" x14ac:dyDescent="0.3">
      <c r="A38" s="10">
        <v>0</v>
      </c>
      <c r="B38" s="10">
        <v>0</v>
      </c>
      <c r="C38" s="81">
        <v>803</v>
      </c>
      <c r="D38" s="11"/>
      <c r="E38" s="11">
        <f t="shared" si="8"/>
        <v>796.01307517485134</v>
      </c>
      <c r="F38" s="10">
        <f t="shared" si="9"/>
        <v>48.817118512278668</v>
      </c>
      <c r="G38" s="11">
        <f t="shared" si="10"/>
        <v>532.58620689655174</v>
      </c>
      <c r="H38" s="11"/>
      <c r="I38" s="11">
        <f t="shared" si="11"/>
        <v>797.49871926529715</v>
      </c>
      <c r="J38" s="10">
        <f t="shared" si="12"/>
        <v>30.264089722012681</v>
      </c>
      <c r="K38" s="11"/>
      <c r="L38" s="11">
        <f t="shared" si="13"/>
        <v>797.10101304089233</v>
      </c>
      <c r="M38" s="10">
        <f t="shared" si="14"/>
        <v>34.7980471437224</v>
      </c>
      <c r="N38" s="11"/>
      <c r="O38" s="11">
        <f t="shared" si="15"/>
        <v>806.96924373930676</v>
      </c>
      <c r="P38" s="10">
        <f t="shared" si="16"/>
        <v>15.754895862025927</v>
      </c>
      <c r="Q38" s="3"/>
      <c r="AE38" s="5"/>
      <c r="AF38" s="3"/>
      <c r="AG38" s="3"/>
      <c r="AH38" s="3"/>
      <c r="AI38" s="3"/>
      <c r="AL38" s="3"/>
      <c r="AM38" s="3"/>
      <c r="AN38" s="3"/>
      <c r="AO38" s="3"/>
      <c r="AP38" s="3"/>
      <c r="AQ38" s="3"/>
    </row>
    <row r="39" spans="1:43" x14ac:dyDescent="0.3">
      <c r="A39" s="10">
        <v>0</v>
      </c>
      <c r="B39" s="10">
        <v>0</v>
      </c>
      <c r="C39" s="81">
        <v>757</v>
      </c>
      <c r="D39" s="11"/>
      <c r="E39" s="11">
        <f t="shared" si="8"/>
        <v>796.01307517485134</v>
      </c>
      <c r="F39" s="10">
        <f t="shared" si="9"/>
        <v>1522.0200345986018</v>
      </c>
      <c r="G39" s="11">
        <f t="shared" si="10"/>
        <v>532.58620689655174</v>
      </c>
      <c r="H39" s="11"/>
      <c r="I39" s="11">
        <f t="shared" si="11"/>
        <v>797.49871926529715</v>
      </c>
      <c r="J39" s="10">
        <f t="shared" si="12"/>
        <v>1640.1462621293508</v>
      </c>
      <c r="K39" s="11"/>
      <c r="L39" s="11">
        <f t="shared" si="13"/>
        <v>797.10101304089233</v>
      </c>
      <c r="M39" s="10">
        <f t="shared" si="14"/>
        <v>1608.0912469058164</v>
      </c>
      <c r="N39" s="11"/>
      <c r="O39" s="11">
        <f t="shared" si="15"/>
        <v>806.96924373930676</v>
      </c>
      <c r="P39" s="10">
        <f t="shared" si="16"/>
        <v>2496.925319878248</v>
      </c>
      <c r="Q39" s="3"/>
      <c r="AC39" s="5"/>
      <c r="AD39" s="5"/>
      <c r="AE39" s="5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</row>
    <row r="40" spans="1:43" x14ac:dyDescent="0.3">
      <c r="A40" s="10">
        <v>0</v>
      </c>
      <c r="B40" s="10">
        <v>0</v>
      </c>
      <c r="C40" s="81">
        <v>886</v>
      </c>
      <c r="D40" s="11"/>
      <c r="E40" s="11">
        <f t="shared" si="8"/>
        <v>796.01307517485134</v>
      </c>
      <c r="F40" s="10">
        <f t="shared" si="9"/>
        <v>8097.6466394869567</v>
      </c>
      <c r="G40" s="11">
        <f t="shared" si="10"/>
        <v>532.58620689655174</v>
      </c>
      <c r="H40" s="11"/>
      <c r="I40" s="11">
        <f t="shared" si="11"/>
        <v>797.49871926529715</v>
      </c>
      <c r="J40" s="10">
        <f t="shared" si="12"/>
        <v>7832.4766916826848</v>
      </c>
      <c r="K40" s="11"/>
      <c r="L40" s="11">
        <f t="shared" si="13"/>
        <v>797.10101304089233</v>
      </c>
      <c r="M40" s="10">
        <f t="shared" si="14"/>
        <v>7903.0298823555959</v>
      </c>
      <c r="N40" s="11"/>
      <c r="O40" s="11">
        <f t="shared" si="15"/>
        <v>806.96924373930676</v>
      </c>
      <c r="P40" s="10">
        <f t="shared" si="16"/>
        <v>6245.8604351371032</v>
      </c>
      <c r="AC40" s="5"/>
      <c r="AD40" s="5"/>
      <c r="AE40" s="5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</row>
    <row r="41" spans="1:43" x14ac:dyDescent="0.3">
      <c r="A41" s="10">
        <v>0</v>
      </c>
      <c r="B41" s="10">
        <v>0</v>
      </c>
      <c r="C41" s="81">
        <v>694</v>
      </c>
      <c r="D41" s="11"/>
      <c r="E41" s="11">
        <f t="shared" si="8"/>
        <v>796.01307517485134</v>
      </c>
      <c r="F41" s="10">
        <f t="shared" si="9"/>
        <v>10406.66750662987</v>
      </c>
      <c r="G41" s="11">
        <f t="shared" si="10"/>
        <v>532.58620689655174</v>
      </c>
      <c r="H41" s="11"/>
      <c r="I41" s="11">
        <f t="shared" si="11"/>
        <v>797.49871926529715</v>
      </c>
      <c r="J41" s="10">
        <f t="shared" si="12"/>
        <v>10711.984889556792</v>
      </c>
      <c r="K41" s="11"/>
      <c r="L41" s="11">
        <f t="shared" si="13"/>
        <v>797.10101304089233</v>
      </c>
      <c r="M41" s="10">
        <f t="shared" si="14"/>
        <v>10629.81889005825</v>
      </c>
      <c r="N41" s="11"/>
      <c r="O41" s="11">
        <f t="shared" si="15"/>
        <v>806.96924373930676</v>
      </c>
      <c r="P41" s="10">
        <f t="shared" si="16"/>
        <v>12762.0500310309</v>
      </c>
      <c r="Q41" s="3"/>
      <c r="AE41" s="5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</row>
    <row r="42" spans="1:43" x14ac:dyDescent="0.3">
      <c r="A42" s="10">
        <v>0</v>
      </c>
      <c r="B42" s="10">
        <v>0</v>
      </c>
      <c r="C42" s="81">
        <v>668</v>
      </c>
      <c r="D42" s="11"/>
      <c r="E42" s="11">
        <f t="shared" si="8"/>
        <v>796.01307517485134</v>
      </c>
      <c r="F42" s="10">
        <f t="shared" si="9"/>
        <v>16387.347415722139</v>
      </c>
      <c r="G42" s="11">
        <f t="shared" si="10"/>
        <v>532.58620689655174</v>
      </c>
      <c r="H42" s="11"/>
      <c r="I42" s="11">
        <f t="shared" si="11"/>
        <v>797.49871926529715</v>
      </c>
      <c r="J42" s="10">
        <f t="shared" si="12"/>
        <v>16769.918291352245</v>
      </c>
      <c r="K42" s="11"/>
      <c r="L42" s="11">
        <f t="shared" si="13"/>
        <v>797.10101304089233</v>
      </c>
      <c r="M42" s="10">
        <f t="shared" si="14"/>
        <v>16667.071568184649</v>
      </c>
      <c r="N42" s="11"/>
      <c r="O42" s="11">
        <f t="shared" si="15"/>
        <v>806.96924373930676</v>
      </c>
      <c r="P42" s="10">
        <f t="shared" si="16"/>
        <v>19312.45070547485</v>
      </c>
      <c r="Q42" s="3"/>
      <c r="AC42">
        <v>0</v>
      </c>
      <c r="AD42">
        <f t="shared" ref="AD42:AD54" si="17">$L$2/(1+(AC42/$L$5)^$L$3)</f>
        <v>797.10101304089233</v>
      </c>
      <c r="AE42" s="5"/>
      <c r="AF42" s="3"/>
      <c r="AG42" s="3"/>
      <c r="AH42" s="3"/>
      <c r="AI42" s="3"/>
      <c r="AK42" t="s">
        <v>0</v>
      </c>
      <c r="AL42" s="3"/>
      <c r="AM42" s="3"/>
      <c r="AN42" s="3"/>
      <c r="AO42" s="3"/>
      <c r="AP42" s="3"/>
      <c r="AQ42" s="3"/>
    </row>
    <row r="43" spans="1:43" x14ac:dyDescent="0.3">
      <c r="A43" s="10">
        <v>0</v>
      </c>
      <c r="B43" s="10">
        <v>0</v>
      </c>
      <c r="C43" s="81">
        <v>989</v>
      </c>
      <c r="D43" s="11"/>
      <c r="E43" s="11">
        <f t="shared" si="8"/>
        <v>796.01307517485134</v>
      </c>
      <c r="F43" s="10">
        <f t="shared" si="9"/>
        <v>37243.953153467584</v>
      </c>
      <c r="G43" s="11">
        <f t="shared" si="10"/>
        <v>532.58620689655174</v>
      </c>
      <c r="H43" s="11"/>
      <c r="I43" s="11">
        <f t="shared" si="11"/>
        <v>797.49871926529715</v>
      </c>
      <c r="J43" s="10">
        <f t="shared" si="12"/>
        <v>36672.740523031469</v>
      </c>
      <c r="K43" s="11"/>
      <c r="L43" s="11">
        <f t="shared" si="13"/>
        <v>797.10101304089233</v>
      </c>
      <c r="M43" s="10">
        <f t="shared" si="14"/>
        <v>36825.221195931779</v>
      </c>
      <c r="N43" s="11"/>
      <c r="O43" s="11">
        <f t="shared" si="15"/>
        <v>806.96924373930676</v>
      </c>
      <c r="P43" s="10">
        <f t="shared" si="16"/>
        <v>33135.196224839907</v>
      </c>
      <c r="Q43" s="3"/>
      <c r="AC43">
        <f t="shared" ref="AC43:AC51" si="18">AC44/$AE$1</f>
        <v>2.9015260114562277E-2</v>
      </c>
      <c r="AD43">
        <f t="shared" si="17"/>
        <v>796.4920135806733</v>
      </c>
      <c r="AE43" s="5"/>
      <c r="AF43" s="3"/>
      <c r="AG43" s="3"/>
      <c r="AH43" s="3"/>
      <c r="AI43" s="3"/>
      <c r="AJ43">
        <v>0</v>
      </c>
      <c r="AK43">
        <f t="shared" ref="AK43:AK55" si="19">$L$2/(1+(AJ43/$L$6)^$L$4)</f>
        <v>797.10101304089233</v>
      </c>
      <c r="AL43" s="3"/>
      <c r="AM43" s="3"/>
      <c r="AN43" s="3"/>
      <c r="AO43" s="3"/>
      <c r="AP43" s="3"/>
      <c r="AQ43" s="3"/>
    </row>
    <row r="44" spans="1:43" x14ac:dyDescent="0.3">
      <c r="A44" s="10">
        <v>0</v>
      </c>
      <c r="B44" s="10">
        <v>0</v>
      </c>
      <c r="C44" s="81">
        <v>592</v>
      </c>
      <c r="D44" s="11"/>
      <c r="E44" s="11">
        <f t="shared" si="8"/>
        <v>796.01307517485134</v>
      </c>
      <c r="F44" s="10">
        <f t="shared" si="9"/>
        <v>41621.33484229954</v>
      </c>
      <c r="G44" s="11">
        <f t="shared" si="10"/>
        <v>532.58620689655174</v>
      </c>
      <c r="H44" s="11"/>
      <c r="I44" s="11">
        <f t="shared" si="11"/>
        <v>797.49871926529715</v>
      </c>
      <c r="J44" s="10">
        <f t="shared" si="12"/>
        <v>42229.72361967741</v>
      </c>
      <c r="K44" s="11"/>
      <c r="L44" s="11">
        <f t="shared" si="13"/>
        <v>797.10101304089233</v>
      </c>
      <c r="M44" s="10">
        <f t="shared" si="14"/>
        <v>42066.425550400287</v>
      </c>
      <c r="N44" s="11"/>
      <c r="O44" s="11">
        <f t="shared" si="15"/>
        <v>806.96924373930676</v>
      </c>
      <c r="P44" s="10">
        <f t="shared" si="16"/>
        <v>46211.775753849477</v>
      </c>
      <c r="Q44" s="3"/>
      <c r="AC44">
        <f t="shared" si="18"/>
        <v>3.7719838148930963E-2</v>
      </c>
      <c r="AD44">
        <f t="shared" si="17"/>
        <v>793.10161194003092</v>
      </c>
      <c r="AE44" s="5"/>
      <c r="AF44" s="3"/>
      <c r="AG44" s="3"/>
      <c r="AH44" s="3"/>
      <c r="AI44" s="3"/>
      <c r="AJ44">
        <f t="shared" ref="AJ44:AJ52" si="20">AJ45/$AN$1</f>
        <v>0.2901526011456228</v>
      </c>
      <c r="AK44">
        <f t="shared" si="19"/>
        <v>715.78660213077342</v>
      </c>
      <c r="AL44" s="3"/>
      <c r="AM44" s="3"/>
      <c r="AN44" s="3"/>
      <c r="AO44" s="3"/>
      <c r="AP44" s="3"/>
      <c r="AQ44" s="3"/>
    </row>
    <row r="45" spans="1:43" x14ac:dyDescent="0.3">
      <c r="A45" s="82">
        <v>2.5000000000000001E-2</v>
      </c>
      <c r="B45" s="12">
        <v>0</v>
      </c>
      <c r="C45" s="83">
        <v>861</v>
      </c>
      <c r="D45" s="13"/>
      <c r="E45" s="13">
        <f>CA(A45,B45,$E$2,$E$3,$E$4,$E$5,$E$6)</f>
        <v>795.53952567505394</v>
      </c>
      <c r="F45" s="13">
        <f>($C45-E45)^2</f>
        <v>4285.0736988469225</v>
      </c>
      <c r="G45" s="11">
        <f>$G$25</f>
        <v>532.58620689655174</v>
      </c>
      <c r="H45" s="13"/>
      <c r="I45" s="13">
        <f>CA_SA(A45,B45,$I$2,$I$3,$I$4,$I$5,$I$6,$I$7)</f>
        <v>797.32155152052758</v>
      </c>
      <c r="J45" s="13">
        <f>($C45-I45)^2</f>
        <v>4054.9448007528235</v>
      </c>
      <c r="K45" s="13"/>
      <c r="L45" s="13">
        <f>CA_DR(A45,B45,$L$2,$L$3,$L$4,$L$5,$L$6,$L$7,$L$8)</f>
        <v>796.89220273162914</v>
      </c>
      <c r="M45" s="13">
        <f>($C45-L45)^2</f>
        <v>4109.8096706025381</v>
      </c>
      <c r="N45" s="13"/>
      <c r="O45" s="13">
        <f>CA_DL(A45,B45,$O$2,$O$3,$O$4,$O$5,$O$6,$O$7,$O$8)</f>
        <v>806.890515597427</v>
      </c>
      <c r="P45" s="13">
        <f>($C45-O45)^2</f>
        <v>2927.8363023122911</v>
      </c>
      <c r="Q45" s="3" t="s">
        <v>31</v>
      </c>
      <c r="AC45">
        <f t="shared" si="18"/>
        <v>4.9035789593610254E-2</v>
      </c>
      <c r="AD45">
        <f t="shared" si="17"/>
        <v>771.44428090513009</v>
      </c>
      <c r="AE45" s="5"/>
      <c r="AF45" s="3"/>
      <c r="AG45" s="3"/>
      <c r="AH45" s="3"/>
      <c r="AI45" s="3"/>
      <c r="AJ45">
        <f t="shared" si="20"/>
        <v>0.37719838148930962</v>
      </c>
      <c r="AK45">
        <f t="shared" si="19"/>
        <v>708.37224698043315</v>
      </c>
      <c r="AL45" s="3"/>
      <c r="AM45" s="3"/>
      <c r="AN45" s="3"/>
      <c r="AO45" s="3"/>
      <c r="AP45" s="3"/>
      <c r="AQ45" s="3"/>
    </row>
    <row r="46" spans="1:43" x14ac:dyDescent="0.3">
      <c r="A46" s="82">
        <v>2.5000000000000001E-2</v>
      </c>
      <c r="B46" s="12">
        <v>0</v>
      </c>
      <c r="C46" s="83">
        <v>884</v>
      </c>
      <c r="D46" s="13"/>
      <c r="E46" s="13">
        <f t="shared" ref="E46:E69" si="21">CA(A46,B46,$E$2,$E$3,$E$4,$E$5,$E$6)</f>
        <v>795.53952567505394</v>
      </c>
      <c r="F46" s="13">
        <f t="shared" ref="F46:F69" si="22">($C46-E46)^2</f>
        <v>7825.2555177944414</v>
      </c>
      <c r="G46" s="11">
        <f t="shared" ref="G46:G69" si="23">$G$25</f>
        <v>532.58620689655174</v>
      </c>
      <c r="H46" s="13"/>
      <c r="I46" s="13">
        <f t="shared" ref="I46:I69" si="24">CA_SA(A46,B46,$I$2,$I$3,$I$4,$I$5,$I$6,$I$7)</f>
        <v>797.32155152052758</v>
      </c>
      <c r="J46" s="13">
        <f t="shared" ref="J46:J69" si="25">($C46-I46)^2</f>
        <v>7513.1534308085547</v>
      </c>
      <c r="K46" s="13"/>
      <c r="L46" s="13">
        <f t="shared" ref="L46:L69" si="26">CA_DR(A46,B46,$L$2,$L$3,$L$4,$L$5,$L$6,$L$7,$L$8)</f>
        <v>796.89220273162914</v>
      </c>
      <c r="M46" s="13">
        <f t="shared" ref="M46:M69" si="27">($C46-L46)^2</f>
        <v>7587.7683449475981</v>
      </c>
      <c r="N46" s="13"/>
      <c r="O46" s="13">
        <f t="shared" ref="O46:O69" si="28">CA_DL(A46,B46,$O$2,$O$3,$O$4,$O$5,$O$6,$O$7,$O$8)</f>
        <v>806.890515597427</v>
      </c>
      <c r="P46" s="13">
        <f t="shared" ref="P46:P69" si="29">($C46-O46)^2</f>
        <v>5945.8725848306494</v>
      </c>
      <c r="Q46" s="3"/>
      <c r="AC46">
        <f t="shared" si="18"/>
        <v>6.3746526471693335E-2</v>
      </c>
      <c r="AD46">
        <f t="shared" si="17"/>
        <v>653.71254015759348</v>
      </c>
      <c r="AE46" s="5"/>
      <c r="AF46" s="3"/>
      <c r="AG46" s="3"/>
      <c r="AH46" s="3"/>
      <c r="AI46" s="3"/>
      <c r="AJ46">
        <f t="shared" si="20"/>
        <v>0.49035789593610252</v>
      </c>
      <c r="AK46">
        <f t="shared" si="19"/>
        <v>700.37319925578004</v>
      </c>
      <c r="AL46" s="3"/>
      <c r="AM46" s="3"/>
      <c r="AN46" s="3"/>
      <c r="AO46" s="3"/>
      <c r="AP46" s="3"/>
      <c r="AQ46" s="3"/>
    </row>
    <row r="47" spans="1:43" x14ac:dyDescent="0.3">
      <c r="A47" s="82">
        <v>2.5000000000000001E-2</v>
      </c>
      <c r="B47" s="12">
        <v>0</v>
      </c>
      <c r="C47" s="83">
        <v>763</v>
      </c>
      <c r="D47" s="13"/>
      <c r="E47" s="13">
        <f t="shared" si="21"/>
        <v>795.53952567505394</v>
      </c>
      <c r="F47" s="13">
        <f t="shared" si="22"/>
        <v>1058.8207311574945</v>
      </c>
      <c r="G47" s="11">
        <f t="shared" si="23"/>
        <v>532.58620689655174</v>
      </c>
      <c r="H47" s="13"/>
      <c r="I47" s="13">
        <f t="shared" si="24"/>
        <v>797.32155152052758</v>
      </c>
      <c r="J47" s="13">
        <f t="shared" si="25"/>
        <v>1177.9688987762288</v>
      </c>
      <c r="K47" s="13"/>
      <c r="L47" s="13">
        <f t="shared" si="26"/>
        <v>796.89220273162914</v>
      </c>
      <c r="M47" s="13">
        <f t="shared" si="27"/>
        <v>1148.6814060018498</v>
      </c>
      <c r="N47" s="13"/>
      <c r="O47" s="13">
        <f t="shared" si="28"/>
        <v>806.890515597427</v>
      </c>
      <c r="P47" s="13">
        <f t="shared" si="29"/>
        <v>1926.3773594079826</v>
      </c>
      <c r="Q47" s="3"/>
      <c r="AC47">
        <f t="shared" si="18"/>
        <v>8.2870484413201342E-2</v>
      </c>
      <c r="AD47">
        <f t="shared" si="17"/>
        <v>325.79521972984406</v>
      </c>
      <c r="AE47" s="5"/>
      <c r="AF47" s="3"/>
      <c r="AG47" s="3"/>
      <c r="AH47" s="3"/>
      <c r="AI47" s="3"/>
      <c r="AJ47">
        <f t="shared" si="20"/>
        <v>0.63746526471693332</v>
      </c>
      <c r="AK47">
        <f t="shared" si="19"/>
        <v>691.76026148524079</v>
      </c>
      <c r="AL47" s="3"/>
      <c r="AM47" s="3"/>
      <c r="AN47" s="3"/>
      <c r="AO47" s="3"/>
      <c r="AP47" s="3"/>
      <c r="AQ47" s="3"/>
    </row>
    <row r="48" spans="1:43" x14ac:dyDescent="0.3">
      <c r="A48" s="82">
        <v>2.5000000000000001E-2</v>
      </c>
      <c r="B48" s="12">
        <v>0</v>
      </c>
      <c r="C48" s="83">
        <v>822</v>
      </c>
      <c r="D48" s="13"/>
      <c r="E48" s="13">
        <f t="shared" si="21"/>
        <v>795.53952567505394</v>
      </c>
      <c r="F48" s="13">
        <f t="shared" si="22"/>
        <v>700.15670150112976</v>
      </c>
      <c r="G48" s="11">
        <f t="shared" si="23"/>
        <v>532.58620689655174</v>
      </c>
      <c r="H48" s="13"/>
      <c r="I48" s="13">
        <f t="shared" si="24"/>
        <v>797.32155152052758</v>
      </c>
      <c r="J48" s="13">
        <f t="shared" si="25"/>
        <v>609.02581935397473</v>
      </c>
      <c r="K48" s="13"/>
      <c r="L48" s="13">
        <f t="shared" si="26"/>
        <v>796.89220273162914</v>
      </c>
      <c r="M48" s="13">
        <f t="shared" si="27"/>
        <v>630.40148366961114</v>
      </c>
      <c r="N48" s="13"/>
      <c r="O48" s="13">
        <f t="shared" si="28"/>
        <v>806.890515597427</v>
      </c>
      <c r="P48" s="13">
        <f t="shared" si="29"/>
        <v>228.29651891159685</v>
      </c>
      <c r="Q48" s="3"/>
      <c r="AC48">
        <f t="shared" si="18"/>
        <v>0.10773162973716174</v>
      </c>
      <c r="AD48">
        <f t="shared" si="17"/>
        <v>75.619923713838404</v>
      </c>
      <c r="AE48" s="5"/>
      <c r="AF48" s="3"/>
      <c r="AG48" s="3"/>
      <c r="AH48" s="3"/>
      <c r="AI48" s="3"/>
      <c r="AJ48">
        <f t="shared" si="20"/>
        <v>0.82870484413201329</v>
      </c>
      <c r="AK48">
        <f t="shared" si="19"/>
        <v>682.50588548850999</v>
      </c>
      <c r="AL48" s="3"/>
      <c r="AM48" s="3"/>
      <c r="AN48" s="3"/>
      <c r="AO48" s="3"/>
      <c r="AP48" s="3"/>
      <c r="AQ48" s="3"/>
    </row>
    <row r="49" spans="1:43" x14ac:dyDescent="0.3">
      <c r="A49" s="82">
        <v>2.5000000000000001E-2</v>
      </c>
      <c r="B49" s="12">
        <v>0</v>
      </c>
      <c r="C49" s="83">
        <v>1051</v>
      </c>
      <c r="D49" s="13"/>
      <c r="E49" s="13">
        <f t="shared" si="21"/>
        <v>795.53952567505394</v>
      </c>
      <c r="F49" s="13">
        <f t="shared" si="22"/>
        <v>65260.053942326427</v>
      </c>
      <c r="G49" s="11">
        <f t="shared" si="23"/>
        <v>532.58620689655174</v>
      </c>
      <c r="H49" s="13"/>
      <c r="I49" s="13">
        <f t="shared" si="24"/>
        <v>797.32155152052758</v>
      </c>
      <c r="J49" s="13">
        <f t="shared" si="25"/>
        <v>64352.755222952343</v>
      </c>
      <c r="K49" s="13"/>
      <c r="L49" s="13">
        <f t="shared" si="26"/>
        <v>796.89220273162914</v>
      </c>
      <c r="M49" s="13">
        <f t="shared" si="27"/>
        <v>64570.772632583466</v>
      </c>
      <c r="N49" s="13"/>
      <c r="O49" s="13">
        <f t="shared" si="28"/>
        <v>806.890515597427</v>
      </c>
      <c r="P49" s="13">
        <f t="shared" si="29"/>
        <v>59589.440375290033</v>
      </c>
      <c r="Q49" s="3"/>
      <c r="AC49">
        <f t="shared" si="18"/>
        <v>0.14005111865831027</v>
      </c>
      <c r="AD49">
        <f t="shared" si="17"/>
        <v>12.469424895135532</v>
      </c>
      <c r="AE49" s="5"/>
      <c r="AF49" s="3"/>
      <c r="AG49" s="3"/>
      <c r="AH49" s="3"/>
      <c r="AI49" s="3"/>
      <c r="AJ49">
        <f t="shared" si="20"/>
        <v>1.0773162973716173</v>
      </c>
      <c r="AK49">
        <f t="shared" si="19"/>
        <v>672.58483746153979</v>
      </c>
      <c r="AL49" s="3"/>
      <c r="AM49" s="3"/>
      <c r="AN49" s="3"/>
      <c r="AO49" s="3"/>
      <c r="AP49" s="3"/>
      <c r="AQ49" s="3"/>
    </row>
    <row r="50" spans="1:43" x14ac:dyDescent="0.3">
      <c r="A50" s="82">
        <v>0.05</v>
      </c>
      <c r="B50" s="12">
        <v>0</v>
      </c>
      <c r="C50" s="83">
        <v>937</v>
      </c>
      <c r="D50" s="13"/>
      <c r="E50" s="13">
        <f t="shared" si="21"/>
        <v>761.50152551711665</v>
      </c>
      <c r="F50" s="13">
        <f t="shared" si="22"/>
        <v>30799.714545819261</v>
      </c>
      <c r="G50" s="11">
        <f t="shared" si="23"/>
        <v>532.58620689655174</v>
      </c>
      <c r="H50" s="13"/>
      <c r="I50" s="13">
        <f t="shared" si="24"/>
        <v>764.88668885899142</v>
      </c>
      <c r="J50" s="13">
        <f t="shared" si="25"/>
        <v>29622.991871921629</v>
      </c>
      <c r="K50" s="13"/>
      <c r="L50" s="13">
        <f t="shared" si="26"/>
        <v>767.73069416409248</v>
      </c>
      <c r="M50" s="13">
        <f t="shared" si="27"/>
        <v>28652.097898169995</v>
      </c>
      <c r="N50" s="13"/>
      <c r="O50" s="13">
        <f t="shared" si="28"/>
        <v>785.10203754824511</v>
      </c>
      <c r="P50" s="13">
        <f t="shared" si="29"/>
        <v>23072.99099699474</v>
      </c>
      <c r="Q50" s="3"/>
      <c r="AC50">
        <f t="shared" si="18"/>
        <v>0.18206645425580337</v>
      </c>
      <c r="AD50">
        <f t="shared" si="17"/>
        <v>1.9160997766773467</v>
      </c>
      <c r="AE50" s="5"/>
      <c r="AF50" s="3"/>
      <c r="AG50" s="3"/>
      <c r="AH50" s="3"/>
      <c r="AI50" s="3"/>
      <c r="AJ50">
        <f t="shared" si="20"/>
        <v>1.4005111865831026</v>
      </c>
      <c r="AK50">
        <f t="shared" si="19"/>
        <v>661.97492887752924</v>
      </c>
      <c r="AL50" s="3"/>
      <c r="AM50" s="3"/>
      <c r="AN50" s="3"/>
      <c r="AO50" s="3"/>
      <c r="AP50" s="3"/>
      <c r="AQ50" s="3"/>
    </row>
    <row r="51" spans="1:43" x14ac:dyDescent="0.3">
      <c r="A51" s="82">
        <v>0.05</v>
      </c>
      <c r="B51" s="12">
        <v>0</v>
      </c>
      <c r="C51" s="83">
        <v>821</v>
      </c>
      <c r="D51" s="13"/>
      <c r="E51" s="13">
        <f t="shared" si="21"/>
        <v>761.50152551711665</v>
      </c>
      <c r="F51" s="13">
        <f t="shared" si="22"/>
        <v>3540.0684657903216</v>
      </c>
      <c r="G51" s="11">
        <f t="shared" si="23"/>
        <v>532.58620689655174</v>
      </c>
      <c r="H51" s="13"/>
      <c r="I51" s="13">
        <f t="shared" si="24"/>
        <v>764.88668885899142</v>
      </c>
      <c r="J51" s="13">
        <f t="shared" si="25"/>
        <v>3148.7036872076378</v>
      </c>
      <c r="K51" s="13"/>
      <c r="L51" s="13">
        <f t="shared" si="26"/>
        <v>767.73069416409248</v>
      </c>
      <c r="M51" s="13">
        <f t="shared" si="27"/>
        <v>2837.6189442394507</v>
      </c>
      <c r="N51" s="13"/>
      <c r="O51" s="13">
        <f t="shared" si="28"/>
        <v>785.10203754824511</v>
      </c>
      <c r="P51" s="13">
        <f t="shared" si="29"/>
        <v>1288.6637081876042</v>
      </c>
      <c r="Q51" s="3"/>
      <c r="AC51">
        <f t="shared" si="18"/>
        <v>0.23668639053254439</v>
      </c>
      <c r="AD51">
        <f t="shared" si="17"/>
        <v>0.2911213511873223</v>
      </c>
      <c r="AE51" s="5"/>
      <c r="AF51" s="3"/>
      <c r="AG51" s="3"/>
      <c r="AH51" s="3"/>
      <c r="AI51" s="3"/>
      <c r="AJ51">
        <f t="shared" si="20"/>
        <v>1.8206645425580334</v>
      </c>
      <c r="AK51">
        <f t="shared" si="19"/>
        <v>650.65780262563715</v>
      </c>
      <c r="AL51" s="3"/>
      <c r="AM51" s="3"/>
      <c r="AN51" s="3"/>
      <c r="AO51" s="3"/>
      <c r="AP51" s="3"/>
      <c r="AQ51" s="3"/>
    </row>
    <row r="52" spans="1:43" x14ac:dyDescent="0.3">
      <c r="A52" s="82">
        <v>0.05</v>
      </c>
      <c r="B52" s="12">
        <v>0</v>
      </c>
      <c r="C52" s="83">
        <v>971</v>
      </c>
      <c r="D52" s="13"/>
      <c r="E52" s="13">
        <f t="shared" si="21"/>
        <v>761.50152551711665</v>
      </c>
      <c r="F52" s="13">
        <f t="shared" si="22"/>
        <v>43889.610810655329</v>
      </c>
      <c r="G52" s="11">
        <f t="shared" si="23"/>
        <v>532.58620689655174</v>
      </c>
      <c r="H52" s="13"/>
      <c r="I52" s="13">
        <f t="shared" si="24"/>
        <v>764.88668885899142</v>
      </c>
      <c r="J52" s="13">
        <f t="shared" si="25"/>
        <v>42482.697029510215</v>
      </c>
      <c r="K52" s="13"/>
      <c r="L52" s="13">
        <f t="shared" si="26"/>
        <v>767.73069416409248</v>
      </c>
      <c r="M52" s="13">
        <f t="shared" si="27"/>
        <v>41318.410695011706</v>
      </c>
      <c r="N52" s="13"/>
      <c r="O52" s="13">
        <f t="shared" si="28"/>
        <v>785.10203754824511</v>
      </c>
      <c r="P52" s="13">
        <f t="shared" si="29"/>
        <v>34558.05244371407</v>
      </c>
      <c r="Q52" s="3"/>
      <c r="AC52">
        <f>AC53/$AE$1</f>
        <v>0.30769230769230771</v>
      </c>
      <c r="AD52">
        <f t="shared" si="17"/>
        <v>4.4154807670545332E-2</v>
      </c>
      <c r="AE52" s="5"/>
      <c r="AF52" s="3"/>
      <c r="AG52" s="3"/>
      <c r="AH52" s="3"/>
      <c r="AI52" s="3"/>
      <c r="AJ52">
        <f t="shared" si="20"/>
        <v>2.3668639053254434</v>
      </c>
      <c r="AK52">
        <f t="shared" si="19"/>
        <v>638.6197588081875</v>
      </c>
      <c r="AL52" s="3"/>
      <c r="AM52" s="3"/>
      <c r="AN52" s="3"/>
      <c r="AO52" s="3"/>
      <c r="AP52" s="3"/>
      <c r="AQ52" s="3"/>
    </row>
    <row r="53" spans="1:43" x14ac:dyDescent="0.3">
      <c r="A53" s="82">
        <v>0.05</v>
      </c>
      <c r="B53" s="12">
        <v>0</v>
      </c>
      <c r="C53" s="83">
        <v>861</v>
      </c>
      <c r="D53" s="13"/>
      <c r="E53" s="13">
        <f t="shared" si="21"/>
        <v>761.50152551711665</v>
      </c>
      <c r="F53" s="13">
        <f t="shared" si="22"/>
        <v>9899.9464244209903</v>
      </c>
      <c r="G53" s="11">
        <f t="shared" si="23"/>
        <v>532.58620689655174</v>
      </c>
      <c r="H53" s="13"/>
      <c r="I53" s="13">
        <f t="shared" si="24"/>
        <v>764.88668885899142</v>
      </c>
      <c r="J53" s="13">
        <f t="shared" si="25"/>
        <v>9237.7685784883233</v>
      </c>
      <c r="K53" s="13"/>
      <c r="L53" s="13">
        <f t="shared" si="26"/>
        <v>767.73069416409248</v>
      </c>
      <c r="M53" s="13">
        <f t="shared" si="27"/>
        <v>8699.1634111120511</v>
      </c>
      <c r="N53" s="13"/>
      <c r="O53" s="13">
        <f t="shared" si="28"/>
        <v>785.10203754824511</v>
      </c>
      <c r="P53" s="13">
        <f t="shared" si="29"/>
        <v>5760.5007043279957</v>
      </c>
      <c r="Q53" s="3"/>
      <c r="AC53">
        <f>$AC$2</f>
        <v>0.4</v>
      </c>
      <c r="AD53">
        <f t="shared" si="17"/>
        <v>6.6952648367319479E-3</v>
      </c>
      <c r="AE53" s="5"/>
      <c r="AF53" s="3"/>
      <c r="AG53" s="3"/>
      <c r="AH53" s="3"/>
      <c r="AI53" s="3"/>
      <c r="AJ53">
        <f>AJ54/$AN$1</f>
        <v>3.0769230769230766</v>
      </c>
      <c r="AK53">
        <f t="shared" si="19"/>
        <v>625.85259922138914</v>
      </c>
      <c r="AL53" s="3"/>
      <c r="AM53" s="3"/>
      <c r="AN53" s="3"/>
      <c r="AO53" s="3"/>
      <c r="AP53" s="3"/>
      <c r="AQ53" s="3"/>
    </row>
    <row r="54" spans="1:43" x14ac:dyDescent="0.3">
      <c r="A54" s="82">
        <v>0.05</v>
      </c>
      <c r="B54" s="12">
        <v>0</v>
      </c>
      <c r="C54" s="83">
        <v>837</v>
      </c>
      <c r="D54" s="13"/>
      <c r="E54" s="13">
        <f t="shared" si="21"/>
        <v>761.50152551711665</v>
      </c>
      <c r="F54" s="13">
        <f t="shared" si="22"/>
        <v>5700.0196492425885</v>
      </c>
      <c r="G54" s="11">
        <f t="shared" si="23"/>
        <v>532.58620689655174</v>
      </c>
      <c r="H54" s="13"/>
      <c r="I54" s="13">
        <f t="shared" si="24"/>
        <v>764.88668885899142</v>
      </c>
      <c r="J54" s="13">
        <f t="shared" si="25"/>
        <v>5200.3296437199124</v>
      </c>
      <c r="K54" s="13"/>
      <c r="L54" s="13">
        <f t="shared" si="26"/>
        <v>767.73069416409248</v>
      </c>
      <c r="M54" s="13">
        <f t="shared" si="27"/>
        <v>4798.2367309884912</v>
      </c>
      <c r="N54" s="13"/>
      <c r="O54" s="13">
        <f t="shared" si="28"/>
        <v>785.10203754824511</v>
      </c>
      <c r="P54" s="13">
        <f t="shared" si="29"/>
        <v>2693.3985066437608</v>
      </c>
      <c r="Q54" s="3"/>
      <c r="AC54" s="5">
        <f>AC53*$AE$1</f>
        <v>0.52</v>
      </c>
      <c r="AD54" s="5">
        <f t="shared" si="17"/>
        <v>1.01517335003114E-3</v>
      </c>
      <c r="AE54" s="5"/>
      <c r="AF54" s="3"/>
      <c r="AG54" s="3"/>
      <c r="AH54" s="3"/>
      <c r="AI54" s="3"/>
      <c r="AJ54">
        <f>$AK$2</f>
        <v>4</v>
      </c>
      <c r="AK54">
        <f t="shared" si="19"/>
        <v>612.35446404883271</v>
      </c>
      <c r="AL54" s="3"/>
      <c r="AM54" s="3"/>
      <c r="AN54" s="3"/>
      <c r="AO54" s="3"/>
      <c r="AP54" s="3"/>
      <c r="AQ54" s="3"/>
    </row>
    <row r="55" spans="1:43" x14ac:dyDescent="0.3">
      <c r="A55" s="82">
        <v>0.1</v>
      </c>
      <c r="B55" s="12">
        <v>0</v>
      </c>
      <c r="C55" s="83">
        <v>169</v>
      </c>
      <c r="D55" s="13"/>
      <c r="E55" s="13">
        <f t="shared" si="21"/>
        <v>178.85869889153881</v>
      </c>
      <c r="F55" s="13">
        <f t="shared" si="22"/>
        <v>97.193943834028516</v>
      </c>
      <c r="G55" s="11">
        <f t="shared" si="23"/>
        <v>532.58620689655174</v>
      </c>
      <c r="H55" s="13"/>
      <c r="I55" s="13">
        <f t="shared" si="24"/>
        <v>86.863337048297154</v>
      </c>
      <c r="J55" s="13">
        <f t="shared" si="25"/>
        <v>6746.431400841635</v>
      </c>
      <c r="K55" s="13"/>
      <c r="L55" s="13">
        <f t="shared" si="26"/>
        <v>121.04232152628943</v>
      </c>
      <c r="M55" s="13">
        <f t="shared" si="27"/>
        <v>2299.9389245878024</v>
      </c>
      <c r="N55" s="13"/>
      <c r="O55" s="13">
        <f t="shared" si="28"/>
        <v>90.15459589253156</v>
      </c>
      <c r="P55" s="13">
        <f t="shared" si="29"/>
        <v>6216.5977488700009</v>
      </c>
      <c r="Q55" s="3"/>
      <c r="AC55" s="5"/>
      <c r="AD55" s="5"/>
      <c r="AE55" s="5"/>
      <c r="AF55" s="3"/>
      <c r="AG55" s="3"/>
      <c r="AH55" s="3"/>
      <c r="AI55" s="3"/>
      <c r="AJ55" s="3">
        <f>AJ54*$AN$1</f>
        <v>5.2</v>
      </c>
      <c r="AK55" s="3">
        <f t="shared" si="19"/>
        <v>598.13062909913219</v>
      </c>
      <c r="AL55" s="3"/>
      <c r="AM55" s="3"/>
      <c r="AN55" s="3"/>
      <c r="AO55" s="3"/>
      <c r="AP55" s="3"/>
      <c r="AQ55" s="3"/>
    </row>
    <row r="56" spans="1:43" x14ac:dyDescent="0.3">
      <c r="A56" s="82">
        <v>0.1</v>
      </c>
      <c r="B56" s="12">
        <v>0</v>
      </c>
      <c r="C56" s="83">
        <v>73</v>
      </c>
      <c r="D56" s="13"/>
      <c r="E56" s="13">
        <f t="shared" si="21"/>
        <v>178.85869889153881</v>
      </c>
      <c r="F56" s="13">
        <f t="shared" si="22"/>
        <v>11206.06413100948</v>
      </c>
      <c r="G56" s="11">
        <f t="shared" si="23"/>
        <v>532.58620689655174</v>
      </c>
      <c r="H56" s="13"/>
      <c r="I56" s="13">
        <f t="shared" si="24"/>
        <v>86.863337048297154</v>
      </c>
      <c r="J56" s="13">
        <f t="shared" si="25"/>
        <v>192.19211411468845</v>
      </c>
      <c r="K56" s="13"/>
      <c r="L56" s="13">
        <f t="shared" si="26"/>
        <v>121.04232152628943</v>
      </c>
      <c r="M56" s="13">
        <f t="shared" si="27"/>
        <v>2308.0646576353724</v>
      </c>
      <c r="N56" s="13"/>
      <c r="O56" s="13">
        <f t="shared" si="28"/>
        <v>90.15459589253156</v>
      </c>
      <c r="P56" s="13">
        <f t="shared" si="29"/>
        <v>294.28016023606068</v>
      </c>
      <c r="Q56" s="3"/>
      <c r="AC56" s="5"/>
      <c r="AD56" s="5"/>
      <c r="AE56" s="5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</row>
    <row r="57" spans="1:43" x14ac:dyDescent="0.3">
      <c r="A57" s="82">
        <v>0.1</v>
      </c>
      <c r="B57" s="12">
        <v>0</v>
      </c>
      <c r="C57" s="83">
        <v>133</v>
      </c>
      <c r="D57" s="13"/>
      <c r="E57" s="13">
        <f t="shared" si="21"/>
        <v>178.85869889153881</v>
      </c>
      <c r="F57" s="13">
        <f t="shared" si="22"/>
        <v>2103.0202640248226</v>
      </c>
      <c r="G57" s="11">
        <f t="shared" si="23"/>
        <v>532.58620689655174</v>
      </c>
      <c r="H57" s="13"/>
      <c r="I57" s="13">
        <f t="shared" si="24"/>
        <v>86.863337048297154</v>
      </c>
      <c r="J57" s="13">
        <f t="shared" si="25"/>
        <v>2128.5916683190298</v>
      </c>
      <c r="K57" s="13"/>
      <c r="L57" s="13">
        <f t="shared" si="26"/>
        <v>121.04232152628943</v>
      </c>
      <c r="M57" s="13">
        <f t="shared" si="27"/>
        <v>142.98607448064121</v>
      </c>
      <c r="N57" s="13"/>
      <c r="O57" s="13">
        <f t="shared" si="28"/>
        <v>90.15459589253156</v>
      </c>
      <c r="P57" s="13">
        <f t="shared" si="29"/>
        <v>1835.7286531322734</v>
      </c>
      <c r="Q57" s="3"/>
      <c r="AC57" s="5"/>
      <c r="AD57" s="5"/>
      <c r="AE57" s="5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</row>
    <row r="58" spans="1:43" x14ac:dyDescent="0.3">
      <c r="A58" s="82">
        <v>0.1</v>
      </c>
      <c r="B58" s="12">
        <v>0</v>
      </c>
      <c r="C58" s="83">
        <v>101</v>
      </c>
      <c r="D58" s="13"/>
      <c r="E58" s="13">
        <f t="shared" si="21"/>
        <v>178.85869889153881</v>
      </c>
      <c r="F58" s="13">
        <f t="shared" si="22"/>
        <v>6061.9769930833063</v>
      </c>
      <c r="G58" s="11">
        <f t="shared" si="23"/>
        <v>532.58620689655174</v>
      </c>
      <c r="H58" s="13"/>
      <c r="I58" s="13">
        <f t="shared" si="24"/>
        <v>86.863337048297154</v>
      </c>
      <c r="J58" s="13">
        <f t="shared" si="25"/>
        <v>199.84523941004781</v>
      </c>
      <c r="K58" s="13"/>
      <c r="L58" s="13">
        <f t="shared" si="26"/>
        <v>121.04232152628943</v>
      </c>
      <c r="M58" s="13">
        <f t="shared" si="27"/>
        <v>401.69465216316456</v>
      </c>
      <c r="N58" s="13"/>
      <c r="O58" s="13">
        <f t="shared" si="28"/>
        <v>90.15459589253156</v>
      </c>
      <c r="P58" s="13">
        <f t="shared" si="29"/>
        <v>117.62279025429331</v>
      </c>
      <c r="Q58" s="3"/>
      <c r="AE58" s="5"/>
      <c r="AF58" s="3"/>
      <c r="AG58" s="3"/>
      <c r="AH58" s="3"/>
      <c r="AI58" s="3"/>
      <c r="AL58" s="3"/>
      <c r="AM58" s="3"/>
      <c r="AN58" s="3"/>
      <c r="AO58" s="3"/>
      <c r="AP58" s="3"/>
      <c r="AQ58" s="3"/>
    </row>
    <row r="59" spans="1:43" x14ac:dyDescent="0.3">
      <c r="A59" s="82">
        <v>0.1</v>
      </c>
      <c r="B59" s="12">
        <v>0</v>
      </c>
      <c r="C59" s="83">
        <v>324</v>
      </c>
      <c r="D59" s="13"/>
      <c r="E59" s="13">
        <f t="shared" si="21"/>
        <v>178.85869889153881</v>
      </c>
      <c r="F59" s="13">
        <f t="shared" si="22"/>
        <v>21065.997287456998</v>
      </c>
      <c r="G59" s="11">
        <f t="shared" si="23"/>
        <v>532.58620689655174</v>
      </c>
      <c r="H59" s="13"/>
      <c r="I59" s="13">
        <f t="shared" si="24"/>
        <v>86.863337048297154</v>
      </c>
      <c r="J59" s="13">
        <f t="shared" si="25"/>
        <v>56233.79691586952</v>
      </c>
      <c r="K59" s="13"/>
      <c r="L59" s="13">
        <f t="shared" si="26"/>
        <v>121.04232152628943</v>
      </c>
      <c r="M59" s="13">
        <f t="shared" si="27"/>
        <v>41191.819251438086</v>
      </c>
      <c r="N59" s="13"/>
      <c r="O59" s="13">
        <f t="shared" si="28"/>
        <v>90.15459589253156</v>
      </c>
      <c r="P59" s="13">
        <f t="shared" si="29"/>
        <v>54683.673022185212</v>
      </c>
      <c r="Q59" s="3"/>
      <c r="AC59">
        <v>0</v>
      </c>
      <c r="AD59">
        <f>$O$2/(1+(AC59/$O$5)^$O$3)</f>
        <v>806.96924373930676</v>
      </c>
      <c r="AE59" s="5"/>
      <c r="AF59" s="3"/>
      <c r="AG59" s="3"/>
      <c r="AH59" s="3"/>
      <c r="AI59" s="3"/>
      <c r="AJ59">
        <v>0</v>
      </c>
      <c r="AK59">
        <f t="shared" ref="AK59:AK71" si="30">$O$2/(1+(AJ59/$O$6)^$O$4)</f>
        <v>806.96924373930676</v>
      </c>
      <c r="AL59" s="3"/>
      <c r="AM59" s="3"/>
      <c r="AN59" s="3"/>
      <c r="AO59" s="3"/>
      <c r="AP59" s="3"/>
      <c r="AQ59" s="3"/>
    </row>
    <row r="60" spans="1:43" x14ac:dyDescent="0.3">
      <c r="A60" s="82">
        <v>0.2</v>
      </c>
      <c r="B60" s="12">
        <v>0</v>
      </c>
      <c r="C60" s="83">
        <v>23</v>
      </c>
      <c r="D60" s="13"/>
      <c r="E60" s="13">
        <f t="shared" si="21"/>
        <v>3.0185361956563006</v>
      </c>
      <c r="F60" s="13">
        <f t="shared" si="22"/>
        <v>399.25889576429745</v>
      </c>
      <c r="G60" s="11">
        <f t="shared" si="23"/>
        <v>532.58620689655174</v>
      </c>
      <c r="H60" s="13"/>
      <c r="I60" s="13">
        <f t="shared" si="24"/>
        <v>0.50770743637756921</v>
      </c>
      <c r="J60" s="13">
        <f t="shared" si="25"/>
        <v>505.9032247675849</v>
      </c>
      <c r="K60" s="13"/>
      <c r="L60" s="13">
        <f t="shared" si="26"/>
        <v>0.97630732357624417</v>
      </c>
      <c r="M60" s="13">
        <f t="shared" si="27"/>
        <v>485.04303910556143</v>
      </c>
      <c r="N60" s="13"/>
      <c r="O60" s="13">
        <f t="shared" si="28"/>
        <v>0.3553815492058322</v>
      </c>
      <c r="P60" s="13">
        <f t="shared" si="29"/>
        <v>512.77874478204774</v>
      </c>
      <c r="Q60" s="3"/>
      <c r="AC60">
        <f t="shared" ref="AC60:AC68" si="31">AC61/$AE$1</f>
        <v>2.9015260114562277E-2</v>
      </c>
      <c r="AD60">
        <f t="shared" ref="AD60:AD71" si="32">$O$2/(1+(AC60/$O$5)^$O$3)</f>
        <v>806.70397393919609</v>
      </c>
      <c r="AE60" s="5"/>
      <c r="AF60" s="3"/>
      <c r="AG60" s="3"/>
      <c r="AH60" s="3"/>
      <c r="AI60" s="3"/>
      <c r="AJ60">
        <f t="shared" ref="AJ60:AJ68" si="33">AJ61/$AN$1</f>
        <v>0.2901526011456228</v>
      </c>
      <c r="AK60">
        <f t="shared" si="30"/>
        <v>624.41073654415084</v>
      </c>
      <c r="AL60" s="3"/>
      <c r="AM60" s="3"/>
      <c r="AN60" s="3"/>
      <c r="AO60" s="3"/>
      <c r="AP60" s="3"/>
      <c r="AQ60" s="3"/>
    </row>
    <row r="61" spans="1:43" x14ac:dyDescent="0.3">
      <c r="A61" s="82">
        <v>0.2</v>
      </c>
      <c r="B61" s="12">
        <v>0</v>
      </c>
      <c r="C61" s="83">
        <v>3</v>
      </c>
      <c r="D61" s="13"/>
      <c r="E61" s="13">
        <f t="shared" si="21"/>
        <v>3.0185361956563006</v>
      </c>
      <c r="F61" s="13">
        <f t="shared" si="22"/>
        <v>3.435905494086573E-4</v>
      </c>
      <c r="G61" s="11">
        <f t="shared" si="23"/>
        <v>532.58620689655174</v>
      </c>
      <c r="H61" s="13"/>
      <c r="I61" s="13">
        <f t="shared" si="24"/>
        <v>0.50770743637756921</v>
      </c>
      <c r="J61" s="13">
        <f t="shared" si="25"/>
        <v>6.2115222226876687</v>
      </c>
      <c r="K61" s="13"/>
      <c r="L61" s="13">
        <f t="shared" si="26"/>
        <v>0.97630732357624417</v>
      </c>
      <c r="M61" s="13">
        <f t="shared" si="27"/>
        <v>4.0953320486111435</v>
      </c>
      <c r="N61" s="13"/>
      <c r="O61" s="13">
        <f t="shared" si="28"/>
        <v>0.3553815492058322</v>
      </c>
      <c r="P61" s="13">
        <f t="shared" si="29"/>
        <v>6.9940067502809438</v>
      </c>
      <c r="Q61" s="3"/>
      <c r="AC61">
        <f t="shared" si="31"/>
        <v>3.7719838148930963E-2</v>
      </c>
      <c r="AD61">
        <f t="shared" si="32"/>
        <v>804.71980999403058</v>
      </c>
      <c r="AE61" s="5"/>
      <c r="AF61" s="3"/>
      <c r="AG61" s="3"/>
      <c r="AH61" s="3"/>
      <c r="AI61" s="3"/>
      <c r="AJ61">
        <f t="shared" si="33"/>
        <v>0.37719838148930962</v>
      </c>
      <c r="AK61">
        <f t="shared" si="30"/>
        <v>616.49235404577621</v>
      </c>
      <c r="AL61" s="3"/>
      <c r="AM61" s="3"/>
      <c r="AN61" s="3"/>
      <c r="AO61" s="3"/>
      <c r="AP61" s="3"/>
      <c r="AQ61" s="3"/>
    </row>
    <row r="62" spans="1:43" x14ac:dyDescent="0.3">
      <c r="A62" s="82">
        <v>0.2</v>
      </c>
      <c r="B62" s="12">
        <v>0</v>
      </c>
      <c r="C62" s="83">
        <v>0</v>
      </c>
      <c r="D62" s="13"/>
      <c r="E62" s="13">
        <f t="shared" si="21"/>
        <v>3.0185361956563006</v>
      </c>
      <c r="F62" s="13">
        <f t="shared" si="22"/>
        <v>9.1115607644872121</v>
      </c>
      <c r="G62" s="11">
        <f t="shared" si="23"/>
        <v>532.58620689655174</v>
      </c>
      <c r="H62" s="13"/>
      <c r="I62" s="13">
        <f t="shared" si="24"/>
        <v>0.50770743637756921</v>
      </c>
      <c r="J62" s="13">
        <f t="shared" si="25"/>
        <v>0.2577668409530835</v>
      </c>
      <c r="K62" s="13"/>
      <c r="L62" s="13">
        <f t="shared" si="26"/>
        <v>0.97630732357624417</v>
      </c>
      <c r="M62" s="13">
        <f t="shared" si="27"/>
        <v>0.95317599006860909</v>
      </c>
      <c r="N62" s="13"/>
      <c r="O62" s="13">
        <f t="shared" si="28"/>
        <v>0.3553815492058322</v>
      </c>
      <c r="P62" s="13">
        <f t="shared" si="29"/>
        <v>0.12629604551593734</v>
      </c>
      <c r="Q62" s="3"/>
      <c r="AC62">
        <f t="shared" si="31"/>
        <v>4.9035789593610254E-2</v>
      </c>
      <c r="AD62">
        <f t="shared" si="32"/>
        <v>788.23908834500321</v>
      </c>
      <c r="AE62" s="5"/>
      <c r="AF62" s="3"/>
      <c r="AG62" s="3"/>
      <c r="AH62" s="3"/>
      <c r="AI62" s="3"/>
      <c r="AJ62">
        <f t="shared" si="33"/>
        <v>0.49035789593610252</v>
      </c>
      <c r="AK62">
        <f t="shared" si="30"/>
        <v>608.33977145477922</v>
      </c>
      <c r="AL62" s="3"/>
      <c r="AM62" s="3"/>
      <c r="AN62" s="3"/>
      <c r="AO62" s="3"/>
      <c r="AP62" s="3"/>
      <c r="AQ62" s="3"/>
    </row>
    <row r="63" spans="1:43" x14ac:dyDescent="0.3">
      <c r="A63" s="82">
        <v>0.2</v>
      </c>
      <c r="B63" s="12">
        <v>0</v>
      </c>
      <c r="C63" s="83">
        <v>0</v>
      </c>
      <c r="D63" s="13"/>
      <c r="E63" s="13">
        <f t="shared" si="21"/>
        <v>3.0185361956563006</v>
      </c>
      <c r="F63" s="13">
        <f t="shared" si="22"/>
        <v>9.1115607644872121</v>
      </c>
      <c r="G63" s="11">
        <f t="shared" si="23"/>
        <v>532.58620689655174</v>
      </c>
      <c r="H63" s="13"/>
      <c r="I63" s="13">
        <f t="shared" si="24"/>
        <v>0.50770743637756921</v>
      </c>
      <c r="J63" s="13">
        <f t="shared" si="25"/>
        <v>0.2577668409530835</v>
      </c>
      <c r="K63" s="13"/>
      <c r="L63" s="13">
        <f t="shared" si="26"/>
        <v>0.97630732357624417</v>
      </c>
      <c r="M63" s="13">
        <f t="shared" si="27"/>
        <v>0.95317599006860909</v>
      </c>
      <c r="N63" s="13"/>
      <c r="O63" s="13">
        <f t="shared" si="28"/>
        <v>0.3553815492058322</v>
      </c>
      <c r="P63" s="13">
        <f t="shared" si="29"/>
        <v>0.12629604551593734</v>
      </c>
      <c r="Q63" s="3"/>
      <c r="AC63">
        <f t="shared" si="31"/>
        <v>6.3746526471693335E-2</v>
      </c>
      <c r="AD63">
        <f t="shared" si="32"/>
        <v>671.35883598246414</v>
      </c>
      <c r="AE63" s="5"/>
      <c r="AF63" s="3"/>
      <c r="AG63" s="3"/>
      <c r="AH63" s="3"/>
      <c r="AI63" s="3"/>
      <c r="AJ63">
        <f t="shared" si="33"/>
        <v>0.63746526471693332</v>
      </c>
      <c r="AK63">
        <f t="shared" si="30"/>
        <v>599.95542188117224</v>
      </c>
      <c r="AL63" s="3"/>
      <c r="AM63" s="3"/>
      <c r="AN63" s="3"/>
      <c r="AO63" s="3"/>
      <c r="AP63" s="3"/>
      <c r="AQ63" s="3"/>
    </row>
    <row r="64" spans="1:43" x14ac:dyDescent="0.3">
      <c r="A64" s="82">
        <v>0.2</v>
      </c>
      <c r="B64" s="12">
        <v>0</v>
      </c>
      <c r="C64" s="83">
        <v>8</v>
      </c>
      <c r="D64" s="13"/>
      <c r="E64" s="13">
        <f t="shared" si="21"/>
        <v>3.0185361956563006</v>
      </c>
      <c r="F64" s="13">
        <f t="shared" si="22"/>
        <v>24.814981633986399</v>
      </c>
      <c r="G64" s="11">
        <f t="shared" si="23"/>
        <v>532.58620689655174</v>
      </c>
      <c r="H64" s="13"/>
      <c r="I64" s="13">
        <f t="shared" si="24"/>
        <v>0.50770743637756921</v>
      </c>
      <c r="J64" s="13">
        <f t="shared" si="25"/>
        <v>56.134447858911969</v>
      </c>
      <c r="K64" s="13"/>
      <c r="L64" s="13">
        <f t="shared" si="26"/>
        <v>0.97630732357624417</v>
      </c>
      <c r="M64" s="13">
        <f t="shared" si="27"/>
        <v>49.3322588128487</v>
      </c>
      <c r="N64" s="13"/>
      <c r="O64" s="13">
        <f t="shared" si="28"/>
        <v>0.3553815492058322</v>
      </c>
      <c r="P64" s="13">
        <f t="shared" si="29"/>
        <v>58.440191258222619</v>
      </c>
      <c r="Q64" s="3"/>
      <c r="AC64">
        <f t="shared" si="31"/>
        <v>8.2870484413201342E-2</v>
      </c>
      <c r="AD64">
        <f t="shared" si="32"/>
        <v>296.99754655631392</v>
      </c>
      <c r="AE64" s="5"/>
      <c r="AF64" s="3"/>
      <c r="AG64" s="3"/>
      <c r="AH64" s="3"/>
      <c r="AI64" s="3"/>
      <c r="AJ64">
        <f t="shared" si="33"/>
        <v>0.82870484413201329</v>
      </c>
      <c r="AK64">
        <f t="shared" si="30"/>
        <v>591.34260488609152</v>
      </c>
      <c r="AL64" s="3"/>
      <c r="AM64" s="3"/>
      <c r="AN64" s="3"/>
      <c r="AO64" s="3"/>
      <c r="AP64" s="3"/>
      <c r="AQ64" s="3"/>
    </row>
    <row r="65" spans="1:43" x14ac:dyDescent="0.3">
      <c r="A65" s="82">
        <v>0.4</v>
      </c>
      <c r="B65" s="12">
        <v>0</v>
      </c>
      <c r="C65" s="83">
        <v>0</v>
      </c>
      <c r="D65" s="13"/>
      <c r="E65" s="13">
        <f t="shared" si="21"/>
        <v>3.9795559731735403E-2</v>
      </c>
      <c r="F65" s="13">
        <f t="shared" si="22"/>
        <v>1.5836865743621203E-3</v>
      </c>
      <c r="G65" s="11">
        <f t="shared" si="23"/>
        <v>532.58620689655174</v>
      </c>
      <c r="H65" s="13"/>
      <c r="I65" s="13">
        <f t="shared" si="24"/>
        <v>2.6476408407980268E-3</v>
      </c>
      <c r="J65" s="13">
        <f t="shared" si="25"/>
        <v>7.0100020218616826E-6</v>
      </c>
      <c r="K65" s="13"/>
      <c r="L65" s="13">
        <f t="shared" si="26"/>
        <v>6.6952648367319539E-3</v>
      </c>
      <c r="M65" s="13">
        <f t="shared" si="27"/>
        <v>4.4826571233979356E-5</v>
      </c>
      <c r="N65" s="13"/>
      <c r="O65" s="13">
        <f t="shared" si="28"/>
        <v>1.2454712372068774E-3</v>
      </c>
      <c r="P65" s="13">
        <f t="shared" si="29"/>
        <v>1.5511986027096297E-6</v>
      </c>
      <c r="Q65" s="3"/>
      <c r="AC65">
        <f t="shared" si="31"/>
        <v>0.10773162973716174</v>
      </c>
      <c r="AD65">
        <f t="shared" si="32"/>
        <v>51.740475201843438</v>
      </c>
      <c r="AE65" s="5"/>
      <c r="AF65" s="3"/>
      <c r="AG65" s="3"/>
      <c r="AH65" s="3"/>
      <c r="AI65" s="3"/>
      <c r="AJ65">
        <f t="shared" si="33"/>
        <v>1.0773162973716173</v>
      </c>
      <c r="AK65">
        <f t="shared" si="30"/>
        <v>582.5055172370694</v>
      </c>
      <c r="AL65" s="3"/>
      <c r="AM65" s="3"/>
      <c r="AN65" s="3"/>
      <c r="AO65" s="3"/>
      <c r="AP65" s="3"/>
      <c r="AQ65" s="3"/>
    </row>
    <row r="66" spans="1:43" x14ac:dyDescent="0.3">
      <c r="A66" s="82">
        <v>0.4</v>
      </c>
      <c r="B66" s="12">
        <v>0</v>
      </c>
      <c r="C66" s="83">
        <v>0</v>
      </c>
      <c r="D66" s="13"/>
      <c r="E66" s="13">
        <f t="shared" si="21"/>
        <v>3.9795559731735403E-2</v>
      </c>
      <c r="F66" s="13">
        <f t="shared" si="22"/>
        <v>1.5836865743621203E-3</v>
      </c>
      <c r="G66" s="11">
        <f t="shared" si="23"/>
        <v>532.58620689655174</v>
      </c>
      <c r="H66" s="13"/>
      <c r="I66" s="13">
        <f t="shared" si="24"/>
        <v>2.6476408407980268E-3</v>
      </c>
      <c r="J66" s="13">
        <f t="shared" si="25"/>
        <v>7.0100020218616826E-6</v>
      </c>
      <c r="K66" s="13"/>
      <c r="L66" s="13">
        <f t="shared" si="26"/>
        <v>6.6952648367319539E-3</v>
      </c>
      <c r="M66" s="13">
        <f t="shared" si="27"/>
        <v>4.4826571233979356E-5</v>
      </c>
      <c r="N66" s="13"/>
      <c r="O66" s="13">
        <f t="shared" si="28"/>
        <v>1.2454712372068774E-3</v>
      </c>
      <c r="P66" s="13">
        <f t="shared" si="29"/>
        <v>1.5511986027096297E-6</v>
      </c>
      <c r="Q66" s="3"/>
      <c r="AC66">
        <f t="shared" si="31"/>
        <v>0.14005111865831027</v>
      </c>
      <c r="AD66">
        <f t="shared" si="32"/>
        <v>6.451606833106962</v>
      </c>
      <c r="AE66" s="5"/>
      <c r="AF66" s="3"/>
      <c r="AG66" s="3"/>
      <c r="AH66" s="3"/>
      <c r="AI66" s="3"/>
      <c r="AJ66">
        <f t="shared" si="33"/>
        <v>1.4005111865831026</v>
      </c>
      <c r="AK66">
        <f t="shared" si="30"/>
        <v>573.44927803319547</v>
      </c>
      <c r="AL66" s="3"/>
      <c r="AM66" s="3"/>
      <c r="AN66" s="3"/>
      <c r="AO66" s="3"/>
      <c r="AP66" s="3"/>
      <c r="AQ66" s="3"/>
    </row>
    <row r="67" spans="1:43" x14ac:dyDescent="0.3">
      <c r="A67" s="82">
        <v>0.4</v>
      </c>
      <c r="B67" s="12">
        <v>0</v>
      </c>
      <c r="C67" s="83">
        <v>0</v>
      </c>
      <c r="D67" s="13"/>
      <c r="E67" s="13">
        <f t="shared" si="21"/>
        <v>3.9795559731735403E-2</v>
      </c>
      <c r="F67" s="13">
        <f t="shared" si="22"/>
        <v>1.5836865743621203E-3</v>
      </c>
      <c r="G67" s="11">
        <f t="shared" si="23"/>
        <v>532.58620689655174</v>
      </c>
      <c r="H67" s="13"/>
      <c r="I67" s="13">
        <f t="shared" si="24"/>
        <v>2.6476408407980268E-3</v>
      </c>
      <c r="J67" s="13">
        <f t="shared" si="25"/>
        <v>7.0100020218616826E-6</v>
      </c>
      <c r="K67" s="13"/>
      <c r="L67" s="13">
        <f t="shared" si="26"/>
        <v>6.6952648367319539E-3</v>
      </c>
      <c r="M67" s="13">
        <f t="shared" si="27"/>
        <v>4.4826571233979356E-5</v>
      </c>
      <c r="N67" s="13"/>
      <c r="O67" s="13">
        <f t="shared" si="28"/>
        <v>1.2454712372068774E-3</v>
      </c>
      <c r="P67" s="13">
        <f t="shared" si="29"/>
        <v>1.5511986027096297E-6</v>
      </c>
      <c r="Q67" s="3"/>
      <c r="AC67">
        <f t="shared" si="31"/>
        <v>0.18206645425580337</v>
      </c>
      <c r="AD67">
        <f t="shared" si="32"/>
        <v>0.76434164636504698</v>
      </c>
      <c r="AE67" s="5"/>
      <c r="AF67" s="3"/>
      <c r="AG67" s="3"/>
      <c r="AH67" s="3"/>
      <c r="AI67" s="3"/>
      <c r="AJ67">
        <f t="shared" si="33"/>
        <v>1.8206645425580334</v>
      </c>
      <c r="AK67">
        <f t="shared" si="30"/>
        <v>564.17994746862064</v>
      </c>
      <c r="AL67" s="3"/>
      <c r="AM67" s="3"/>
      <c r="AN67" s="3"/>
      <c r="AO67" s="3"/>
      <c r="AP67" s="3"/>
      <c r="AQ67" s="3"/>
    </row>
    <row r="68" spans="1:43" x14ac:dyDescent="0.3">
      <c r="A68" s="82">
        <v>0.4</v>
      </c>
      <c r="B68" s="12">
        <v>0</v>
      </c>
      <c r="C68" s="83">
        <v>0</v>
      </c>
      <c r="D68" s="13"/>
      <c r="E68" s="13">
        <f t="shared" si="21"/>
        <v>3.9795559731735403E-2</v>
      </c>
      <c r="F68" s="13">
        <f t="shared" si="22"/>
        <v>1.5836865743621203E-3</v>
      </c>
      <c r="G68" s="11">
        <f t="shared" si="23"/>
        <v>532.58620689655174</v>
      </c>
      <c r="H68" s="13"/>
      <c r="I68" s="13">
        <f t="shared" si="24"/>
        <v>2.6476408407980268E-3</v>
      </c>
      <c r="J68" s="13">
        <f t="shared" si="25"/>
        <v>7.0100020218616826E-6</v>
      </c>
      <c r="K68" s="13"/>
      <c r="L68" s="13">
        <f t="shared" si="26"/>
        <v>6.6952648367319539E-3</v>
      </c>
      <c r="M68" s="13">
        <f t="shared" si="27"/>
        <v>4.4826571233979356E-5</v>
      </c>
      <c r="N68" s="13"/>
      <c r="O68" s="13">
        <f t="shared" si="28"/>
        <v>1.2454712372068774E-3</v>
      </c>
      <c r="P68" s="13">
        <f t="shared" si="29"/>
        <v>1.5511986027096297E-6</v>
      </c>
      <c r="Q68" s="3"/>
      <c r="AC68">
        <f t="shared" si="31"/>
        <v>0.23668639053254439</v>
      </c>
      <c r="AD68">
        <f t="shared" si="32"/>
        <v>8.9990308011894449E-2</v>
      </c>
      <c r="AE68" s="5"/>
      <c r="AF68" s="3"/>
      <c r="AG68" s="3"/>
      <c r="AH68" s="3"/>
      <c r="AI68" s="3"/>
      <c r="AJ68">
        <f t="shared" si="33"/>
        <v>2.3668639053254434</v>
      </c>
      <c r="AK68">
        <f t="shared" si="30"/>
        <v>554.70453854420248</v>
      </c>
      <c r="AL68" s="3"/>
      <c r="AM68" s="3"/>
      <c r="AN68" s="3"/>
      <c r="AO68" s="3"/>
      <c r="AP68" s="3"/>
      <c r="AQ68" s="3"/>
    </row>
    <row r="69" spans="1:43" x14ac:dyDescent="0.3">
      <c r="A69" s="82">
        <v>0.4</v>
      </c>
      <c r="B69" s="12">
        <v>0</v>
      </c>
      <c r="C69" s="83">
        <v>0</v>
      </c>
      <c r="D69" s="13"/>
      <c r="E69" s="13">
        <f t="shared" si="21"/>
        <v>3.9795559731735403E-2</v>
      </c>
      <c r="F69" s="13">
        <f t="shared" si="22"/>
        <v>1.5836865743621203E-3</v>
      </c>
      <c r="G69" s="11">
        <f t="shared" si="23"/>
        <v>532.58620689655174</v>
      </c>
      <c r="H69" s="13"/>
      <c r="I69" s="13">
        <f t="shared" si="24"/>
        <v>2.6476408407980268E-3</v>
      </c>
      <c r="J69" s="13">
        <f t="shared" si="25"/>
        <v>7.0100020218616826E-6</v>
      </c>
      <c r="K69" s="13"/>
      <c r="L69" s="13">
        <f t="shared" si="26"/>
        <v>6.6952648367319539E-3</v>
      </c>
      <c r="M69" s="13">
        <f t="shared" si="27"/>
        <v>4.4826571233979356E-5</v>
      </c>
      <c r="N69" s="13"/>
      <c r="O69" s="13">
        <f t="shared" si="28"/>
        <v>1.2454712372068774E-3</v>
      </c>
      <c r="P69" s="13">
        <f t="shared" si="29"/>
        <v>1.5511986027096297E-6</v>
      </c>
      <c r="Q69" s="3"/>
      <c r="AC69">
        <f>AC70/$AE$1</f>
        <v>0.30769230769230771</v>
      </c>
      <c r="AD69">
        <f t="shared" si="32"/>
        <v>1.0587259900370022E-2</v>
      </c>
      <c r="AE69" s="5"/>
      <c r="AF69" s="3"/>
      <c r="AG69" s="3"/>
      <c r="AH69" s="3"/>
      <c r="AI69" s="3"/>
      <c r="AJ69">
        <f>AJ70/$AN$1</f>
        <v>3.0769230769230766</v>
      </c>
      <c r="AK69">
        <f t="shared" si="30"/>
        <v>545.03102109687723</v>
      </c>
      <c r="AL69" s="3"/>
      <c r="AM69" s="3"/>
      <c r="AN69" s="3"/>
      <c r="AO69" s="3"/>
      <c r="AP69" s="3"/>
      <c r="AQ69" s="3"/>
    </row>
    <row r="70" spans="1:43" x14ac:dyDescent="0.3">
      <c r="A70" s="12"/>
      <c r="B70" s="12"/>
      <c r="C70" s="13"/>
      <c r="D70" s="13"/>
      <c r="E70" s="13"/>
      <c r="F70" s="13"/>
      <c r="G70" s="11"/>
      <c r="H70" s="13"/>
      <c r="I70" s="13"/>
      <c r="J70" s="13"/>
      <c r="K70" s="13"/>
      <c r="L70" s="13"/>
      <c r="M70" s="13"/>
      <c r="N70" s="13"/>
      <c r="O70" s="13"/>
      <c r="P70" s="13"/>
      <c r="Q70" s="3"/>
      <c r="AC70">
        <f>$AC$2</f>
        <v>0.4</v>
      </c>
      <c r="AD70">
        <f t="shared" si="32"/>
        <v>1.2454712372068771E-3</v>
      </c>
      <c r="AE70" s="5"/>
      <c r="AF70" s="3"/>
      <c r="AG70" s="3"/>
      <c r="AH70" s="3"/>
      <c r="AI70" s="3"/>
      <c r="AJ70">
        <f>$AK$2</f>
        <v>4</v>
      </c>
      <c r="AK70">
        <f t="shared" si="30"/>
        <v>535.16831759485285</v>
      </c>
      <c r="AL70" s="3"/>
      <c r="AM70" s="3"/>
      <c r="AN70" s="3"/>
      <c r="AO70" s="3"/>
      <c r="AP70" s="3"/>
      <c r="AQ70" s="3"/>
    </row>
    <row r="71" spans="1:43" x14ac:dyDescent="0.3">
      <c r="A71" s="12"/>
      <c r="B71" s="12"/>
      <c r="C71" s="13"/>
      <c r="D71" s="13"/>
      <c r="E71" s="13"/>
      <c r="F71" s="13"/>
      <c r="G71" s="11"/>
      <c r="H71" s="13"/>
      <c r="I71" s="13"/>
      <c r="J71" s="13"/>
      <c r="K71" s="13"/>
      <c r="L71" s="13"/>
      <c r="M71" s="13"/>
      <c r="N71" s="13"/>
      <c r="O71" s="13"/>
      <c r="P71" s="13"/>
      <c r="Q71" s="3"/>
      <c r="AC71" s="5">
        <f>AC70*$AE$1</f>
        <v>0.52</v>
      </c>
      <c r="AD71" s="5">
        <f t="shared" si="32"/>
        <v>1.4651409075198583E-4</v>
      </c>
      <c r="AE71" s="5"/>
      <c r="AF71" s="3"/>
      <c r="AG71" s="3"/>
      <c r="AH71" s="3"/>
      <c r="AI71" s="3"/>
      <c r="AJ71" s="3">
        <f>AJ70*$AN$1</f>
        <v>5.2</v>
      </c>
      <c r="AK71" s="3">
        <f t="shared" si="30"/>
        <v>525.12629024368175</v>
      </c>
      <c r="AL71" s="3"/>
      <c r="AM71" s="3"/>
      <c r="AN71" s="3"/>
      <c r="AO71" s="3"/>
      <c r="AP71" s="3"/>
      <c r="AQ71" s="3"/>
    </row>
    <row r="72" spans="1:43" x14ac:dyDescent="0.3">
      <c r="A72" s="12"/>
      <c r="B72" s="12"/>
      <c r="C72" s="13"/>
      <c r="D72" s="13"/>
      <c r="E72" s="13"/>
      <c r="F72" s="13"/>
      <c r="G72" s="11"/>
      <c r="H72" s="13"/>
      <c r="I72" s="13"/>
      <c r="J72" s="13"/>
      <c r="K72" s="13"/>
      <c r="L72" s="13"/>
      <c r="M72" s="13"/>
      <c r="N72" s="13"/>
      <c r="O72" s="13"/>
      <c r="P72" s="13"/>
      <c r="Q72" s="3"/>
      <c r="AC72" s="5"/>
      <c r="AD72" s="5"/>
      <c r="AE72" s="5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</row>
    <row r="73" spans="1:43" x14ac:dyDescent="0.3">
      <c r="A73" s="12"/>
      <c r="B73" s="12"/>
      <c r="C73" s="13"/>
      <c r="D73" s="13"/>
      <c r="E73" s="13"/>
      <c r="F73" s="13"/>
      <c r="G73" s="11"/>
      <c r="H73" s="13"/>
      <c r="I73" s="13"/>
      <c r="J73" s="13"/>
      <c r="K73" s="13"/>
      <c r="L73" s="13"/>
      <c r="M73" s="13"/>
      <c r="N73" s="13"/>
      <c r="O73" s="13"/>
      <c r="P73" s="13"/>
      <c r="Q73" s="3"/>
      <c r="AC73" s="5"/>
      <c r="AD73" s="5"/>
      <c r="AE73" s="5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</row>
    <row r="74" spans="1:43" x14ac:dyDescent="0.3">
      <c r="A74" s="12"/>
      <c r="B74" s="12"/>
      <c r="C74" s="13"/>
      <c r="D74" s="13"/>
      <c r="E74" s="13"/>
      <c r="F74" s="13"/>
      <c r="G74" s="11"/>
      <c r="H74" s="13"/>
      <c r="I74" s="13"/>
      <c r="J74" s="13"/>
      <c r="K74" s="13"/>
      <c r="L74" s="13"/>
      <c r="M74" s="13"/>
      <c r="N74" s="13"/>
      <c r="O74" s="13"/>
      <c r="P74" s="13"/>
      <c r="Q74" s="3"/>
      <c r="AC74" s="5"/>
      <c r="AD74" s="5"/>
      <c r="AE74" s="5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</row>
    <row r="75" spans="1:43" x14ac:dyDescent="0.3">
      <c r="A75" s="12"/>
      <c r="B75" s="12"/>
      <c r="C75" s="13"/>
      <c r="D75" s="13"/>
      <c r="E75" s="13"/>
      <c r="F75" s="13"/>
      <c r="G75" s="11"/>
      <c r="H75" s="13"/>
      <c r="I75" s="13"/>
      <c r="J75" s="13"/>
      <c r="K75" s="13"/>
      <c r="L75" s="13"/>
      <c r="M75" s="13"/>
      <c r="N75" s="13"/>
      <c r="O75" s="13"/>
      <c r="P75" s="13"/>
      <c r="Q75" s="3"/>
      <c r="AC75" s="5"/>
      <c r="AD75" s="5"/>
      <c r="AE75" s="5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</row>
    <row r="76" spans="1:43" x14ac:dyDescent="0.3">
      <c r="A76" s="12"/>
      <c r="B76" s="12"/>
      <c r="C76" s="13"/>
      <c r="D76" s="13"/>
      <c r="E76" s="13"/>
      <c r="F76" s="13"/>
      <c r="G76" s="11"/>
      <c r="H76" s="13"/>
      <c r="I76" s="13"/>
      <c r="J76" s="13"/>
      <c r="K76" s="13"/>
      <c r="L76" s="13"/>
      <c r="M76" s="13"/>
      <c r="N76" s="13"/>
      <c r="O76" s="13"/>
      <c r="P76" s="13"/>
      <c r="AC76" s="5"/>
      <c r="AD76" s="5"/>
      <c r="AE76" s="5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</row>
    <row r="77" spans="1:43" x14ac:dyDescent="0.3">
      <c r="A77" s="12"/>
      <c r="B77" s="12"/>
      <c r="C77" s="13"/>
      <c r="D77" s="13"/>
      <c r="E77" s="13"/>
      <c r="F77" s="13"/>
      <c r="G77" s="11"/>
      <c r="H77" s="13"/>
      <c r="I77" s="13"/>
      <c r="J77" s="13"/>
      <c r="K77" s="13"/>
      <c r="L77" s="13"/>
      <c r="M77" s="13"/>
      <c r="N77" s="13"/>
      <c r="O77" s="13"/>
      <c r="P77" s="13"/>
      <c r="Q77" s="3"/>
      <c r="AC77" s="5"/>
      <c r="AD77" s="5"/>
      <c r="AE77" s="5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</row>
    <row r="78" spans="1:43" x14ac:dyDescent="0.3">
      <c r="A78" s="12"/>
      <c r="B78" s="12"/>
      <c r="C78" s="13"/>
      <c r="D78" s="13"/>
      <c r="E78" s="13"/>
      <c r="F78" s="13"/>
      <c r="G78" s="11"/>
      <c r="H78" s="13"/>
      <c r="I78" s="13"/>
      <c r="J78" s="13"/>
      <c r="K78" s="13"/>
      <c r="L78" s="13"/>
      <c r="M78" s="13"/>
      <c r="N78" s="13"/>
      <c r="O78" s="13"/>
      <c r="P78" s="13"/>
      <c r="Q78" s="3"/>
      <c r="AC78" s="5"/>
      <c r="AD78" s="5"/>
      <c r="AE78" s="5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</row>
    <row r="79" spans="1:43" x14ac:dyDescent="0.3">
      <c r="A79" s="12"/>
      <c r="B79" s="12"/>
      <c r="C79" s="13"/>
      <c r="D79" s="13"/>
      <c r="E79" s="13"/>
      <c r="F79" s="13"/>
      <c r="G79" s="11"/>
      <c r="H79" s="13"/>
      <c r="I79" s="13"/>
      <c r="J79" s="13"/>
      <c r="K79" s="13"/>
      <c r="L79" s="13"/>
      <c r="M79" s="13"/>
      <c r="N79" s="13"/>
      <c r="O79" s="13"/>
      <c r="P79" s="13"/>
      <c r="Q79" s="3"/>
      <c r="AC79" s="5"/>
      <c r="AD79" s="5"/>
      <c r="AE79" s="5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</row>
    <row r="80" spans="1:43" x14ac:dyDescent="0.3">
      <c r="A80" s="12"/>
      <c r="B80" s="12"/>
      <c r="C80" s="13"/>
      <c r="D80" s="13"/>
      <c r="E80" s="13"/>
      <c r="F80" s="13"/>
      <c r="G80" s="11"/>
      <c r="H80" s="13"/>
      <c r="I80" s="13"/>
      <c r="J80" s="13"/>
      <c r="K80" s="13"/>
      <c r="L80" s="13"/>
      <c r="M80" s="13"/>
      <c r="N80" s="13"/>
      <c r="O80" s="13"/>
      <c r="P80" s="13"/>
      <c r="Q80" s="3"/>
      <c r="AC80" s="5"/>
      <c r="AD80" s="5"/>
      <c r="AE80" s="5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</row>
    <row r="81" spans="1:43" x14ac:dyDescent="0.3">
      <c r="A81" s="12"/>
      <c r="B81" s="12"/>
      <c r="C81" s="13"/>
      <c r="D81" s="13"/>
      <c r="E81" s="13"/>
      <c r="F81" s="13"/>
      <c r="G81" s="11"/>
      <c r="H81" s="13"/>
      <c r="I81" s="13"/>
      <c r="J81" s="13"/>
      <c r="K81" s="13"/>
      <c r="L81" s="13"/>
      <c r="M81" s="13"/>
      <c r="N81" s="13"/>
      <c r="O81" s="13"/>
      <c r="P81" s="13"/>
      <c r="Q81" s="3"/>
      <c r="AC81" s="5"/>
      <c r="AD81" s="5"/>
      <c r="AE81" s="5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</row>
    <row r="82" spans="1:43" x14ac:dyDescent="0.3">
      <c r="A82" s="12"/>
      <c r="B82" s="12"/>
      <c r="C82" s="13"/>
      <c r="D82" s="13"/>
      <c r="E82" s="13"/>
      <c r="F82" s="13"/>
      <c r="G82" s="11"/>
      <c r="H82" s="13"/>
      <c r="I82" s="13"/>
      <c r="J82" s="13"/>
      <c r="K82" s="13"/>
      <c r="L82" s="13"/>
      <c r="M82" s="13"/>
      <c r="N82" s="13"/>
      <c r="O82" s="13"/>
      <c r="P82" s="13"/>
      <c r="Q82" s="3"/>
      <c r="AC82" s="5"/>
      <c r="AD82" s="5"/>
      <c r="AE82" s="5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</row>
    <row r="83" spans="1:43" x14ac:dyDescent="0.3">
      <c r="A83" s="12"/>
      <c r="B83" s="12"/>
      <c r="C83" s="13"/>
      <c r="D83" s="13"/>
      <c r="E83" s="13"/>
      <c r="F83" s="13"/>
      <c r="G83" s="11"/>
      <c r="H83" s="13"/>
      <c r="I83" s="13"/>
      <c r="J83" s="13"/>
      <c r="K83" s="13"/>
      <c r="L83" s="13"/>
      <c r="M83" s="13"/>
      <c r="N83" s="13"/>
      <c r="O83" s="13"/>
      <c r="P83" s="13"/>
      <c r="Q83" s="3"/>
      <c r="AC83" s="5"/>
      <c r="AD83" s="5"/>
      <c r="AE83" s="5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</row>
    <row r="84" spans="1:43" x14ac:dyDescent="0.3">
      <c r="A84" s="12"/>
      <c r="B84" s="12"/>
      <c r="C84" s="13"/>
      <c r="D84" s="13"/>
      <c r="E84" s="13"/>
      <c r="F84" s="13"/>
      <c r="G84" s="11"/>
      <c r="H84" s="13"/>
      <c r="I84" s="13"/>
      <c r="J84" s="13"/>
      <c r="K84" s="13"/>
      <c r="L84" s="13"/>
      <c r="M84" s="13"/>
      <c r="N84" s="13"/>
      <c r="O84" s="13"/>
      <c r="P84" s="13"/>
      <c r="Q84" s="3"/>
      <c r="AC84" s="5"/>
      <c r="AD84" s="5"/>
      <c r="AE84" s="5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</row>
    <row r="85" spans="1:43" x14ac:dyDescent="0.3">
      <c r="A85" s="12"/>
      <c r="B85" s="12"/>
      <c r="C85" s="13"/>
      <c r="D85" s="13"/>
      <c r="E85" s="13"/>
      <c r="F85" s="13"/>
      <c r="G85" s="11"/>
      <c r="H85" s="13"/>
      <c r="I85" s="13"/>
      <c r="J85" s="13"/>
      <c r="K85" s="13"/>
      <c r="L85" s="13"/>
      <c r="M85" s="13"/>
      <c r="N85" s="13"/>
      <c r="O85" s="13"/>
      <c r="P85" s="13"/>
      <c r="Q85" s="3"/>
      <c r="AC85" s="5"/>
      <c r="AD85" s="5"/>
      <c r="AE85" s="5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</row>
    <row r="86" spans="1:43" x14ac:dyDescent="0.3">
      <c r="A86" s="12"/>
      <c r="B86" s="12"/>
      <c r="C86" s="13"/>
      <c r="D86" s="13"/>
      <c r="E86" s="13"/>
      <c r="F86" s="13"/>
      <c r="G86" s="11"/>
      <c r="H86" s="13"/>
      <c r="I86" s="13"/>
      <c r="J86" s="13"/>
      <c r="K86" s="13"/>
      <c r="L86" s="13"/>
      <c r="M86" s="13"/>
      <c r="N86" s="13"/>
      <c r="O86" s="13"/>
      <c r="P86" s="13"/>
      <c r="Q86" s="3"/>
      <c r="AC86" s="5"/>
      <c r="AD86" s="5"/>
      <c r="AE86" s="5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</row>
    <row r="87" spans="1:43" x14ac:dyDescent="0.3">
      <c r="A87" s="12"/>
      <c r="B87" s="12"/>
      <c r="C87" s="13"/>
      <c r="D87" s="13"/>
      <c r="E87" s="13"/>
      <c r="F87" s="13"/>
      <c r="G87" s="11"/>
      <c r="H87" s="13"/>
      <c r="I87" s="13"/>
      <c r="J87" s="13"/>
      <c r="K87" s="13"/>
      <c r="L87" s="13"/>
      <c r="M87" s="13"/>
      <c r="N87" s="13"/>
      <c r="O87" s="13"/>
      <c r="P87" s="13"/>
      <c r="Q87" s="3"/>
      <c r="AC87" s="5"/>
      <c r="AD87" s="5"/>
      <c r="AE87" s="5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</row>
    <row r="88" spans="1:43" x14ac:dyDescent="0.3">
      <c r="A88" s="12"/>
      <c r="B88" s="12"/>
      <c r="C88" s="13"/>
      <c r="D88" s="13"/>
      <c r="E88" s="13"/>
      <c r="F88" s="13"/>
      <c r="G88" s="11"/>
      <c r="H88" s="13"/>
      <c r="I88" s="13"/>
      <c r="J88" s="13"/>
      <c r="K88" s="13"/>
      <c r="L88" s="13"/>
      <c r="M88" s="13"/>
      <c r="N88" s="13"/>
      <c r="O88" s="13"/>
      <c r="P88" s="13"/>
      <c r="Q88" s="3"/>
      <c r="AC88" s="5"/>
      <c r="AD88" s="5"/>
      <c r="AE88" s="5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</row>
    <row r="89" spans="1:43" x14ac:dyDescent="0.3">
      <c r="A89" s="12"/>
      <c r="B89" s="12"/>
      <c r="C89" s="13"/>
      <c r="D89" s="13"/>
      <c r="E89" s="13"/>
      <c r="F89" s="13"/>
      <c r="G89" s="11"/>
      <c r="H89" s="13"/>
      <c r="I89" s="13"/>
      <c r="J89" s="13"/>
      <c r="K89" s="13"/>
      <c r="L89" s="13"/>
      <c r="M89" s="13"/>
      <c r="N89" s="13"/>
      <c r="O89" s="13"/>
      <c r="P89" s="13"/>
      <c r="Q89" s="3"/>
      <c r="AC89" s="5"/>
      <c r="AD89" s="5"/>
      <c r="AE89" s="5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</row>
    <row r="90" spans="1:43" x14ac:dyDescent="0.3">
      <c r="A90" s="8">
        <v>0</v>
      </c>
      <c r="B90" s="84">
        <v>0.25</v>
      </c>
      <c r="C90" s="85">
        <v>569</v>
      </c>
      <c r="D90" s="9"/>
      <c r="E90" s="9">
        <f>CA(A90,B90,$E$2,$E$3,$E$4,$E$5,$E$6)</f>
        <v>720.73847350233893</v>
      </c>
      <c r="F90" s="9">
        <f>($C90-E90)^2</f>
        <v>23024.564340820016</v>
      </c>
      <c r="G90" s="11">
        <f>$G$25</f>
        <v>532.58620689655174</v>
      </c>
      <c r="H90" s="9"/>
      <c r="I90" s="9">
        <f>CA_SA(A90,B90,$I$2,$I$3,$I$4,$I$5,$I$6,$I$7)</f>
        <v>718.10942783029395</v>
      </c>
      <c r="J90" s="9">
        <f>($C90-I90)^2</f>
        <v>22233.621467877641</v>
      </c>
      <c r="K90" s="9"/>
      <c r="L90" s="9">
        <f>CA_DR(A90,B90,$L$2,$L$3,$L$4,$L$5,$L$6,$L$7,$L$8)</f>
        <v>719.74709218789496</v>
      </c>
      <c r="M90" s="9">
        <f>($C90-L90)^2</f>
        <v>22724.685803105702</v>
      </c>
      <c r="N90" s="9"/>
      <c r="O90" s="9">
        <f>CA_DL(A90,B90,$O$2,$O$3,$O$4,$O$5,$O$6,$O$7,$O$8)</f>
        <v>628.80119695733117</v>
      </c>
      <c r="P90" s="9">
        <f>($C90-O90)^2</f>
        <v>3576.183157529515</v>
      </c>
      <c r="Q90" s="3" t="s">
        <v>32</v>
      </c>
      <c r="AC90" s="5"/>
      <c r="AD90" s="5"/>
      <c r="AE90" s="5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</row>
    <row r="91" spans="1:43" x14ac:dyDescent="0.3">
      <c r="A91" s="8">
        <v>0</v>
      </c>
      <c r="B91" s="84">
        <v>0.25</v>
      </c>
      <c r="C91" s="85">
        <v>617</v>
      </c>
      <c r="D91" s="9"/>
      <c r="E91" s="9">
        <f t="shared" ref="E91:E114" si="34">CA(A91,B91,$E$2,$E$3,$E$4,$E$5,$E$6)</f>
        <v>720.73847350233893</v>
      </c>
      <c r="F91" s="9">
        <f t="shared" ref="F91:F114" si="35">($C91-E91)^2</f>
        <v>10761.670884595476</v>
      </c>
      <c r="G91" s="11">
        <f t="shared" ref="G91:G114" si="36">$G$25</f>
        <v>532.58620689655174</v>
      </c>
      <c r="H91" s="9"/>
      <c r="I91" s="9">
        <f t="shared" ref="I91:I114" si="37">CA_SA(A91,B91,$I$2,$I$3,$I$4,$I$5,$I$6,$I$7)</f>
        <v>718.10942783029395</v>
      </c>
      <c r="J91" s="9">
        <f t="shared" ref="J91:J114" si="38">($C91-I91)^2</f>
        <v>10223.116396169422</v>
      </c>
      <c r="K91" s="9"/>
      <c r="L91" s="9">
        <f t="shared" ref="L91:L114" si="39">CA_DR(A91,B91,$L$2,$L$3,$L$4,$L$5,$L$6,$L$7,$L$8)</f>
        <v>719.74709218789496</v>
      </c>
      <c r="M91" s="9">
        <f t="shared" ref="M91:M114" si="40">($C91-L91)^2</f>
        <v>10556.964953067787</v>
      </c>
      <c r="N91" s="9"/>
      <c r="O91" s="9">
        <f t="shared" ref="O91:O114" si="41">CA_DL(A91,B91,$O$2,$O$3,$O$4,$O$5,$O$6,$O$7,$O$8)</f>
        <v>628.80119695733117</v>
      </c>
      <c r="P91" s="9">
        <f t="shared" ref="P91:P114" si="42">($C91-O91)^2</f>
        <v>139.26824962572252</v>
      </c>
      <c r="Q91" s="3"/>
      <c r="AC91" s="5"/>
      <c r="AD91" s="5"/>
      <c r="AE91" s="5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</row>
    <row r="92" spans="1:43" x14ac:dyDescent="0.3">
      <c r="A92" s="8">
        <v>0</v>
      </c>
      <c r="B92" s="84">
        <v>0.25</v>
      </c>
      <c r="C92" s="85">
        <v>655</v>
      </c>
      <c r="D92" s="9"/>
      <c r="E92" s="9">
        <f t="shared" si="34"/>
        <v>720.73847350233893</v>
      </c>
      <c r="F92" s="9">
        <f t="shared" si="35"/>
        <v>4321.5468984177178</v>
      </c>
      <c r="G92" s="11">
        <f t="shared" si="36"/>
        <v>532.58620689655174</v>
      </c>
      <c r="H92" s="9"/>
      <c r="I92" s="9">
        <f t="shared" si="37"/>
        <v>718.10942783029395</v>
      </c>
      <c r="J92" s="9">
        <f t="shared" si="38"/>
        <v>3982.7998810670811</v>
      </c>
      <c r="K92" s="9"/>
      <c r="L92" s="9">
        <f t="shared" si="39"/>
        <v>719.74709218789496</v>
      </c>
      <c r="M92" s="9">
        <f t="shared" si="40"/>
        <v>4192.1859467877694</v>
      </c>
      <c r="N92" s="9"/>
      <c r="O92" s="9">
        <f t="shared" si="41"/>
        <v>628.80119695733117</v>
      </c>
      <c r="P92" s="9">
        <f t="shared" si="42"/>
        <v>686.3772808685535</v>
      </c>
      <c r="Q92" s="3"/>
      <c r="AC92" s="5"/>
      <c r="AD92" s="5"/>
      <c r="AE92" s="5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</row>
    <row r="93" spans="1:43" x14ac:dyDescent="0.3">
      <c r="A93" s="8">
        <v>0</v>
      </c>
      <c r="B93" s="84">
        <v>0.25</v>
      </c>
      <c r="C93" s="85">
        <v>599</v>
      </c>
      <c r="D93" s="9"/>
      <c r="E93" s="9">
        <f t="shared" si="34"/>
        <v>720.73847350233893</v>
      </c>
      <c r="F93" s="9">
        <f t="shared" si="35"/>
        <v>14820.255930679679</v>
      </c>
      <c r="G93" s="11">
        <f t="shared" si="36"/>
        <v>532.58620689655174</v>
      </c>
      <c r="H93" s="9"/>
      <c r="I93" s="9">
        <f t="shared" si="37"/>
        <v>718.10942783029395</v>
      </c>
      <c r="J93" s="9">
        <f t="shared" si="38"/>
        <v>14187.055798060004</v>
      </c>
      <c r="K93" s="9"/>
      <c r="L93" s="9">
        <f t="shared" si="39"/>
        <v>719.74709218789496</v>
      </c>
      <c r="M93" s="9">
        <f t="shared" si="40"/>
        <v>14579.860271832005</v>
      </c>
      <c r="N93" s="9"/>
      <c r="O93" s="9">
        <f t="shared" si="41"/>
        <v>628.80119695733117</v>
      </c>
      <c r="P93" s="9">
        <f t="shared" si="42"/>
        <v>888.11134008964473</v>
      </c>
      <c r="Q93" s="3"/>
      <c r="AC93" s="5"/>
      <c r="AD93" s="5"/>
      <c r="AE93" s="5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</row>
    <row r="94" spans="1:43" x14ac:dyDescent="0.3">
      <c r="A94" s="8">
        <v>0</v>
      </c>
      <c r="B94" s="84">
        <v>0.25</v>
      </c>
      <c r="C94" s="85">
        <v>607</v>
      </c>
      <c r="D94" s="9"/>
      <c r="E94" s="9">
        <f t="shared" si="34"/>
        <v>720.73847350233893</v>
      </c>
      <c r="F94" s="9">
        <f t="shared" si="35"/>
        <v>12936.440354642256</v>
      </c>
      <c r="G94" s="11">
        <f t="shared" si="36"/>
        <v>532.58620689655174</v>
      </c>
      <c r="H94" s="9"/>
      <c r="I94" s="9">
        <f t="shared" si="37"/>
        <v>718.10942783029395</v>
      </c>
      <c r="J94" s="9">
        <f t="shared" si="38"/>
        <v>12345.304952775301</v>
      </c>
      <c r="K94" s="9"/>
      <c r="L94" s="9">
        <f t="shared" si="39"/>
        <v>719.74709218789496</v>
      </c>
      <c r="M94" s="9">
        <f t="shared" si="40"/>
        <v>12711.906796825686</v>
      </c>
      <c r="N94" s="9"/>
      <c r="O94" s="9">
        <f t="shared" si="41"/>
        <v>628.80119695733117</v>
      </c>
      <c r="P94" s="9">
        <f t="shared" si="42"/>
        <v>475.29218877234592</v>
      </c>
      <c r="Q94" s="3"/>
      <c r="AC94" s="5"/>
      <c r="AD94" s="5"/>
      <c r="AE94" s="5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</row>
    <row r="95" spans="1:43" x14ac:dyDescent="0.3">
      <c r="A95" s="8">
        <v>0</v>
      </c>
      <c r="B95" s="84">
        <v>0.5</v>
      </c>
      <c r="C95" s="85">
        <v>708</v>
      </c>
      <c r="D95" s="9"/>
      <c r="E95" s="9">
        <f t="shared" si="34"/>
        <v>700.93999454704976</v>
      </c>
      <c r="F95" s="9">
        <f t="shared" si="35"/>
        <v>49.843676995687062</v>
      </c>
      <c r="G95" s="11">
        <f t="shared" si="36"/>
        <v>532.58620689655174</v>
      </c>
      <c r="H95" s="9"/>
      <c r="I95" s="9">
        <f t="shared" si="37"/>
        <v>697.94833214206767</v>
      </c>
      <c r="J95" s="9">
        <f t="shared" si="38"/>
        <v>101.03602672618992</v>
      </c>
      <c r="K95" s="9"/>
      <c r="L95" s="9">
        <f t="shared" si="39"/>
        <v>699.75539108006967</v>
      </c>
      <c r="M95" s="9">
        <f t="shared" si="40"/>
        <v>67.973576242594746</v>
      </c>
      <c r="N95" s="9"/>
      <c r="O95" s="9">
        <f t="shared" si="41"/>
        <v>607.72541537848065</v>
      </c>
      <c r="P95" s="9">
        <f t="shared" si="42"/>
        <v>10054.992321018246</v>
      </c>
      <c r="Q95" s="3"/>
      <c r="AC95" s="5"/>
      <c r="AD95" s="5"/>
      <c r="AE95" s="5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</row>
    <row r="96" spans="1:43" x14ac:dyDescent="0.3">
      <c r="A96" s="8">
        <v>0</v>
      </c>
      <c r="B96" s="84">
        <v>0.5</v>
      </c>
      <c r="C96" s="85">
        <v>572</v>
      </c>
      <c r="D96" s="9"/>
      <c r="E96" s="9">
        <f t="shared" si="34"/>
        <v>700.93999454704976</v>
      </c>
      <c r="F96" s="9">
        <f t="shared" si="35"/>
        <v>16625.522193793222</v>
      </c>
      <c r="G96" s="11">
        <f t="shared" si="36"/>
        <v>532.58620689655174</v>
      </c>
      <c r="H96" s="9"/>
      <c r="I96" s="9">
        <f t="shared" si="37"/>
        <v>697.94833214206767</v>
      </c>
      <c r="J96" s="9">
        <f t="shared" si="38"/>
        <v>15862.982369368596</v>
      </c>
      <c r="K96" s="9"/>
      <c r="L96" s="9">
        <f t="shared" si="39"/>
        <v>699.75539108006967</v>
      </c>
      <c r="M96" s="9">
        <f t="shared" si="40"/>
        <v>16321.439950021546</v>
      </c>
      <c r="N96" s="9"/>
      <c r="O96" s="9">
        <f t="shared" si="41"/>
        <v>607.72541537848065</v>
      </c>
      <c r="P96" s="9">
        <f t="shared" si="42"/>
        <v>1276.3053039649815</v>
      </c>
      <c r="Q96" s="3"/>
      <c r="AC96" s="5"/>
      <c r="AD96" s="5"/>
      <c r="AE96" s="5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</row>
    <row r="97" spans="1:43" x14ac:dyDescent="0.3">
      <c r="A97" s="8">
        <v>0</v>
      </c>
      <c r="B97" s="84">
        <v>0.5</v>
      </c>
      <c r="C97" s="85">
        <v>547</v>
      </c>
      <c r="D97" s="9"/>
      <c r="E97" s="9">
        <f t="shared" si="34"/>
        <v>700.93999454704976</v>
      </c>
      <c r="F97" s="9">
        <f t="shared" si="35"/>
        <v>23697.521921145712</v>
      </c>
      <c r="G97" s="11">
        <f t="shared" si="36"/>
        <v>532.58620689655174</v>
      </c>
      <c r="H97" s="9"/>
      <c r="I97" s="9">
        <f t="shared" si="37"/>
        <v>697.94833214206767</v>
      </c>
      <c r="J97" s="9">
        <f t="shared" si="38"/>
        <v>22785.398976471981</v>
      </c>
      <c r="K97" s="9"/>
      <c r="L97" s="9">
        <f t="shared" si="39"/>
        <v>699.75539108006967</v>
      </c>
      <c r="M97" s="9">
        <f t="shared" si="40"/>
        <v>23334.209504025028</v>
      </c>
      <c r="N97" s="9"/>
      <c r="O97" s="9">
        <f t="shared" si="41"/>
        <v>607.72541537848065</v>
      </c>
      <c r="P97" s="9">
        <f t="shared" si="42"/>
        <v>3687.5760728890141</v>
      </c>
      <c r="Q97" s="3"/>
      <c r="AC97" s="5"/>
      <c r="AD97" s="5"/>
      <c r="AE97" s="5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</row>
    <row r="98" spans="1:43" x14ac:dyDescent="0.3">
      <c r="A98" s="8">
        <v>0</v>
      </c>
      <c r="B98" s="84">
        <v>0.5</v>
      </c>
      <c r="C98" s="85">
        <v>641</v>
      </c>
      <c r="D98" s="9"/>
      <c r="E98" s="9">
        <f t="shared" si="34"/>
        <v>700.93999454704976</v>
      </c>
      <c r="F98" s="9">
        <f t="shared" si="35"/>
        <v>3592.8029463003554</v>
      </c>
      <c r="G98" s="11">
        <f t="shared" si="36"/>
        <v>532.58620689655174</v>
      </c>
      <c r="H98" s="9"/>
      <c r="I98" s="9">
        <f t="shared" si="37"/>
        <v>697.94833214206767</v>
      </c>
      <c r="J98" s="9">
        <f t="shared" si="38"/>
        <v>3243.1125337632579</v>
      </c>
      <c r="K98" s="9"/>
      <c r="L98" s="9">
        <f t="shared" si="39"/>
        <v>699.75539108006967</v>
      </c>
      <c r="M98" s="9">
        <f t="shared" si="40"/>
        <v>3452.1959809719306</v>
      </c>
      <c r="N98" s="9"/>
      <c r="O98" s="9">
        <f t="shared" si="41"/>
        <v>607.72541537848065</v>
      </c>
      <c r="P98" s="9">
        <f t="shared" si="42"/>
        <v>1107.1979817346521</v>
      </c>
      <c r="Q98" s="3"/>
      <c r="AC98" s="5"/>
      <c r="AD98" s="5"/>
      <c r="AE98" s="5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</row>
    <row r="99" spans="1:43" x14ac:dyDescent="0.3">
      <c r="A99" s="8">
        <v>0</v>
      </c>
      <c r="B99" s="84">
        <v>0.5</v>
      </c>
      <c r="C99" s="85">
        <v>644</v>
      </c>
      <c r="D99" s="9"/>
      <c r="E99" s="9">
        <f t="shared" si="34"/>
        <v>700.93999454704976</v>
      </c>
      <c r="F99" s="9">
        <f t="shared" si="35"/>
        <v>3242.1629790180568</v>
      </c>
      <c r="G99" s="11">
        <f t="shared" si="36"/>
        <v>532.58620689655174</v>
      </c>
      <c r="H99" s="9"/>
      <c r="I99" s="9">
        <f t="shared" si="37"/>
        <v>697.94833214206767</v>
      </c>
      <c r="J99" s="9">
        <f t="shared" si="38"/>
        <v>2910.4225409108517</v>
      </c>
      <c r="K99" s="9"/>
      <c r="L99" s="9">
        <f t="shared" si="39"/>
        <v>699.75539108006967</v>
      </c>
      <c r="M99" s="9">
        <f t="shared" si="40"/>
        <v>3108.6636344915128</v>
      </c>
      <c r="N99" s="9"/>
      <c r="O99" s="9">
        <f t="shared" si="41"/>
        <v>607.72541537848065</v>
      </c>
      <c r="P99" s="9">
        <f t="shared" si="42"/>
        <v>1315.8454894637682</v>
      </c>
      <c r="Q99" s="3"/>
      <c r="AC99" s="5"/>
      <c r="AD99" s="5"/>
      <c r="AE99" s="5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</row>
    <row r="100" spans="1:43" x14ac:dyDescent="0.3">
      <c r="A100" s="8">
        <v>0</v>
      </c>
      <c r="B100" s="84">
        <v>1</v>
      </c>
      <c r="C100" s="85">
        <v>578</v>
      </c>
      <c r="D100" s="9"/>
      <c r="E100" s="9">
        <f t="shared" si="34"/>
        <v>676.79553058810257</v>
      </c>
      <c r="F100" s="9">
        <f t="shared" si="35"/>
        <v>9760.5568641847094</v>
      </c>
      <c r="G100" s="11">
        <f t="shared" si="36"/>
        <v>532.58620689655174</v>
      </c>
      <c r="H100" s="9"/>
      <c r="I100" s="9">
        <f t="shared" si="37"/>
        <v>673.55099831365874</v>
      </c>
      <c r="J100" s="9">
        <f t="shared" si="38"/>
        <v>9129.9932787368143</v>
      </c>
      <c r="K100" s="9"/>
      <c r="L100" s="9">
        <f t="shared" si="39"/>
        <v>675.47007809270247</v>
      </c>
      <c r="M100" s="9">
        <f t="shared" si="40"/>
        <v>9500.4161233975174</v>
      </c>
      <c r="N100" s="9"/>
      <c r="O100" s="9">
        <f t="shared" si="41"/>
        <v>585.03647104445417</v>
      </c>
      <c r="P100" s="9">
        <f t="shared" si="42"/>
        <v>49.511924759442017</v>
      </c>
      <c r="Q100" s="3"/>
      <c r="AC100" s="5"/>
      <c r="AD100" s="5"/>
      <c r="AE100" s="5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</row>
    <row r="101" spans="1:43" x14ac:dyDescent="0.3">
      <c r="A101" s="8">
        <v>0</v>
      </c>
      <c r="B101" s="84">
        <v>1</v>
      </c>
      <c r="C101" s="85">
        <v>550</v>
      </c>
      <c r="D101" s="9"/>
      <c r="E101" s="9">
        <f t="shared" si="34"/>
        <v>676.79553058810257</v>
      </c>
      <c r="F101" s="9">
        <f t="shared" si="35"/>
        <v>16077.106577118453</v>
      </c>
      <c r="G101" s="11">
        <f t="shared" si="36"/>
        <v>532.58620689655174</v>
      </c>
      <c r="H101" s="9"/>
      <c r="I101" s="9">
        <f t="shared" si="37"/>
        <v>673.55099831365874</v>
      </c>
      <c r="J101" s="9">
        <f t="shared" si="38"/>
        <v>15264.849184301704</v>
      </c>
      <c r="K101" s="9"/>
      <c r="L101" s="9">
        <f t="shared" si="39"/>
        <v>675.47007809270247</v>
      </c>
      <c r="M101" s="9">
        <f t="shared" si="40"/>
        <v>15742.740496588855</v>
      </c>
      <c r="N101" s="9"/>
      <c r="O101" s="9">
        <f t="shared" si="41"/>
        <v>585.03647104445417</v>
      </c>
      <c r="P101" s="9">
        <f t="shared" si="42"/>
        <v>1227.5543032488758</v>
      </c>
      <c r="Q101" s="3"/>
      <c r="AC101" s="5"/>
      <c r="AD101" s="5"/>
      <c r="AE101" s="5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</row>
    <row r="102" spans="1:43" x14ac:dyDescent="0.3">
      <c r="A102" s="8">
        <v>0</v>
      </c>
      <c r="B102" s="84">
        <v>1</v>
      </c>
      <c r="C102" s="85">
        <v>585</v>
      </c>
      <c r="D102" s="9"/>
      <c r="E102" s="9">
        <f t="shared" si="34"/>
        <v>676.79553058810257</v>
      </c>
      <c r="F102" s="9">
        <f t="shared" si="35"/>
        <v>8426.419435951273</v>
      </c>
      <c r="G102" s="11">
        <f t="shared" si="36"/>
        <v>532.58620689655174</v>
      </c>
      <c r="H102" s="9"/>
      <c r="I102" s="9">
        <f t="shared" si="37"/>
        <v>673.55099831365874</v>
      </c>
      <c r="J102" s="9">
        <f t="shared" si="38"/>
        <v>7841.2793023455924</v>
      </c>
      <c r="K102" s="9"/>
      <c r="L102" s="9">
        <f t="shared" si="39"/>
        <v>675.47007809270247</v>
      </c>
      <c r="M102" s="9">
        <f t="shared" si="40"/>
        <v>8184.8350300996826</v>
      </c>
      <c r="N102" s="9"/>
      <c r="O102" s="9">
        <f t="shared" si="41"/>
        <v>585.03647104445417</v>
      </c>
      <c r="P102" s="9">
        <f t="shared" si="42"/>
        <v>1.3301370835783551E-3</v>
      </c>
      <c r="Q102" s="3"/>
      <c r="AC102" s="5"/>
      <c r="AD102" s="5"/>
      <c r="AE102" s="5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</row>
    <row r="103" spans="1:43" x14ac:dyDescent="0.3">
      <c r="A103" s="8">
        <v>0</v>
      </c>
      <c r="B103" s="84">
        <v>1</v>
      </c>
      <c r="C103" s="85">
        <v>421</v>
      </c>
      <c r="D103" s="9"/>
      <c r="E103" s="9">
        <f t="shared" si="34"/>
        <v>676.79553058810257</v>
      </c>
      <c r="F103" s="9">
        <f t="shared" si="35"/>
        <v>65431.353468848916</v>
      </c>
      <c r="G103" s="11">
        <f t="shared" si="36"/>
        <v>532.58620689655174</v>
      </c>
      <c r="H103" s="9"/>
      <c r="I103" s="9">
        <f t="shared" si="37"/>
        <v>673.55099831365874</v>
      </c>
      <c r="J103" s="9">
        <f t="shared" si="38"/>
        <v>63782.006749225657</v>
      </c>
      <c r="K103" s="9"/>
      <c r="L103" s="9">
        <f t="shared" si="39"/>
        <v>675.47007809270247</v>
      </c>
      <c r="M103" s="9">
        <f t="shared" si="40"/>
        <v>64755.02064450609</v>
      </c>
      <c r="N103" s="9"/>
      <c r="O103" s="9">
        <f t="shared" si="41"/>
        <v>585.03647104445417</v>
      </c>
      <c r="P103" s="9">
        <f t="shared" si="42"/>
        <v>26907.963832718051</v>
      </c>
      <c r="Q103" s="3"/>
      <c r="AC103" s="5"/>
      <c r="AD103" s="5"/>
      <c r="AE103" s="5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</row>
    <row r="104" spans="1:43" x14ac:dyDescent="0.3">
      <c r="A104" s="8">
        <v>0</v>
      </c>
      <c r="B104" s="84">
        <v>1</v>
      </c>
      <c r="C104" s="85">
        <v>632</v>
      </c>
      <c r="D104" s="9"/>
      <c r="E104" s="9">
        <f t="shared" si="34"/>
        <v>676.79553058810257</v>
      </c>
      <c r="F104" s="9">
        <f t="shared" si="35"/>
        <v>2006.6395606696326</v>
      </c>
      <c r="G104" s="11">
        <f t="shared" si="36"/>
        <v>532.58620689655174</v>
      </c>
      <c r="H104" s="9"/>
      <c r="I104" s="9">
        <f t="shared" si="37"/>
        <v>673.55099831365874</v>
      </c>
      <c r="J104" s="9">
        <f t="shared" si="38"/>
        <v>1726.4854608616713</v>
      </c>
      <c r="K104" s="9"/>
      <c r="L104" s="9">
        <f t="shared" si="39"/>
        <v>675.47007809270247</v>
      </c>
      <c r="M104" s="9">
        <f t="shared" si="40"/>
        <v>1889.6476893856509</v>
      </c>
      <c r="N104" s="9"/>
      <c r="O104" s="9">
        <f t="shared" si="41"/>
        <v>585.03647104445417</v>
      </c>
      <c r="P104" s="9">
        <f t="shared" si="42"/>
        <v>2205.5730519583913</v>
      </c>
      <c r="Q104" s="3"/>
      <c r="AC104" s="5"/>
      <c r="AD104" s="5"/>
      <c r="AE104" s="5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</row>
    <row r="105" spans="1:43" x14ac:dyDescent="0.3">
      <c r="A105" s="8">
        <v>0</v>
      </c>
      <c r="B105" s="84">
        <v>2</v>
      </c>
      <c r="C105" s="85">
        <v>616</v>
      </c>
      <c r="D105" s="9"/>
      <c r="E105" s="9">
        <f t="shared" si="34"/>
        <v>647.81580737165359</v>
      </c>
      <c r="F105" s="9">
        <f t="shared" si="35"/>
        <v>1012.245598710167</v>
      </c>
      <c r="G105" s="11">
        <f t="shared" si="36"/>
        <v>532.58620689655174</v>
      </c>
      <c r="H105" s="9"/>
      <c r="I105" s="9">
        <f t="shared" si="37"/>
        <v>644.48531719084872</v>
      </c>
      <c r="J105" s="9">
        <f t="shared" si="38"/>
        <v>811.41329546326153</v>
      </c>
      <c r="K105" s="9"/>
      <c r="L105" s="9">
        <f t="shared" si="39"/>
        <v>646.43070814819998</v>
      </c>
      <c r="M105" s="9">
        <f t="shared" si="40"/>
        <v>926.02799840092484</v>
      </c>
      <c r="N105" s="9"/>
      <c r="O105" s="9">
        <f t="shared" si="41"/>
        <v>560.81034747106105</v>
      </c>
      <c r="P105" s="9">
        <f t="shared" si="42"/>
        <v>3045.8977462650173</v>
      </c>
      <c r="Q105" s="3"/>
      <c r="AC105" s="5"/>
      <c r="AD105" s="5"/>
      <c r="AE105" s="5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</row>
    <row r="106" spans="1:43" x14ac:dyDescent="0.3">
      <c r="A106" s="8">
        <v>0</v>
      </c>
      <c r="B106" s="84">
        <v>2</v>
      </c>
      <c r="C106" s="85">
        <v>745</v>
      </c>
      <c r="D106" s="9"/>
      <c r="E106" s="9">
        <f t="shared" si="34"/>
        <v>647.81580737165359</v>
      </c>
      <c r="F106" s="9">
        <f t="shared" si="35"/>
        <v>9444.7672968235402</v>
      </c>
      <c r="G106" s="11">
        <f t="shared" si="36"/>
        <v>532.58620689655174</v>
      </c>
      <c r="H106" s="9"/>
      <c r="I106" s="9">
        <f t="shared" si="37"/>
        <v>644.48531719084872</v>
      </c>
      <c r="J106" s="9">
        <f t="shared" si="38"/>
        <v>10103.201460224293</v>
      </c>
      <c r="K106" s="9"/>
      <c r="L106" s="9">
        <f t="shared" si="39"/>
        <v>646.43070814819998</v>
      </c>
      <c r="M106" s="9">
        <f t="shared" si="40"/>
        <v>9715.9052961653288</v>
      </c>
      <c r="N106" s="9"/>
      <c r="O106" s="9">
        <f t="shared" si="41"/>
        <v>560.81034747106105</v>
      </c>
      <c r="P106" s="9">
        <f t="shared" si="42"/>
        <v>33925.828098731268</v>
      </c>
      <c r="Q106" s="3"/>
      <c r="AC106" s="5"/>
      <c r="AD106" s="5"/>
      <c r="AE106" s="5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</row>
    <row r="107" spans="1:43" x14ac:dyDescent="0.3">
      <c r="A107" s="8">
        <v>0</v>
      </c>
      <c r="B107" s="84">
        <v>2</v>
      </c>
      <c r="C107" s="85">
        <v>611</v>
      </c>
      <c r="D107" s="9"/>
      <c r="E107" s="9">
        <f t="shared" si="34"/>
        <v>647.81580737165359</v>
      </c>
      <c r="F107" s="9">
        <f t="shared" si="35"/>
        <v>1355.403672426703</v>
      </c>
      <c r="G107" s="11">
        <f t="shared" si="36"/>
        <v>532.58620689655174</v>
      </c>
      <c r="H107" s="9"/>
      <c r="I107" s="9">
        <f t="shared" si="37"/>
        <v>644.48531719084872</v>
      </c>
      <c r="J107" s="9">
        <f t="shared" si="38"/>
        <v>1121.2664673717486</v>
      </c>
      <c r="K107" s="9"/>
      <c r="L107" s="9">
        <f t="shared" si="39"/>
        <v>646.43070814819998</v>
      </c>
      <c r="M107" s="9">
        <f t="shared" si="40"/>
        <v>1255.3350798829247</v>
      </c>
      <c r="N107" s="9"/>
      <c r="O107" s="9">
        <f t="shared" si="41"/>
        <v>560.81034747106105</v>
      </c>
      <c r="P107" s="9">
        <f t="shared" si="42"/>
        <v>2519.0012209756278</v>
      </c>
      <c r="Q107" s="3"/>
      <c r="AC107" s="5"/>
      <c r="AD107" s="5"/>
      <c r="AE107" s="5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</row>
    <row r="108" spans="1:43" x14ac:dyDescent="0.3">
      <c r="A108" s="8">
        <v>0</v>
      </c>
      <c r="B108" s="84">
        <v>2</v>
      </c>
      <c r="C108" s="85">
        <v>586</v>
      </c>
      <c r="D108" s="9"/>
      <c r="E108" s="9">
        <f t="shared" si="34"/>
        <v>647.81580737165359</v>
      </c>
      <c r="F108" s="9">
        <f t="shared" si="35"/>
        <v>3821.1940410093825</v>
      </c>
      <c r="G108" s="11">
        <f t="shared" si="36"/>
        <v>532.58620689655174</v>
      </c>
      <c r="H108" s="9"/>
      <c r="I108" s="9">
        <f t="shared" si="37"/>
        <v>644.48531719084872</v>
      </c>
      <c r="J108" s="9">
        <f t="shared" si="38"/>
        <v>3420.5323269141845</v>
      </c>
      <c r="K108" s="9"/>
      <c r="L108" s="9">
        <f t="shared" si="39"/>
        <v>646.43070814819998</v>
      </c>
      <c r="M108" s="9">
        <f t="shared" si="40"/>
        <v>3651.8704872929238</v>
      </c>
      <c r="N108" s="9"/>
      <c r="O108" s="9">
        <f t="shared" si="41"/>
        <v>560.81034747106105</v>
      </c>
      <c r="P108" s="9">
        <f t="shared" si="42"/>
        <v>634.51859452868041</v>
      </c>
      <c r="Q108" s="3"/>
      <c r="AC108" s="5"/>
      <c r="AD108" s="5"/>
      <c r="AE108" s="5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</row>
    <row r="109" spans="1:43" x14ac:dyDescent="0.3">
      <c r="A109" s="8">
        <v>0</v>
      </c>
      <c r="B109" s="84">
        <v>2</v>
      </c>
      <c r="C109" s="85">
        <v>522</v>
      </c>
      <c r="D109" s="9"/>
      <c r="E109" s="9">
        <f t="shared" si="34"/>
        <v>647.81580737165359</v>
      </c>
      <c r="F109" s="9">
        <f t="shared" si="35"/>
        <v>15829.617384581043</v>
      </c>
      <c r="G109" s="11">
        <f t="shared" si="36"/>
        <v>532.58620689655174</v>
      </c>
      <c r="H109" s="9"/>
      <c r="I109" s="9">
        <f t="shared" si="37"/>
        <v>644.48531719084872</v>
      </c>
      <c r="J109" s="9">
        <f t="shared" si="38"/>
        <v>15002.65292734282</v>
      </c>
      <c r="K109" s="9"/>
      <c r="L109" s="9">
        <f t="shared" si="39"/>
        <v>646.43070814819998</v>
      </c>
      <c r="M109" s="9">
        <f t="shared" si="40"/>
        <v>15483.001130262521</v>
      </c>
      <c r="N109" s="9"/>
      <c r="O109" s="9">
        <f t="shared" si="41"/>
        <v>560.81034747106105</v>
      </c>
      <c r="P109" s="9">
        <f t="shared" si="42"/>
        <v>1506.2430708244949</v>
      </c>
      <c r="Q109" s="3"/>
      <c r="AC109" s="5"/>
      <c r="AD109" s="5"/>
      <c r="AE109" s="5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</row>
    <row r="110" spans="1:43" x14ac:dyDescent="0.3">
      <c r="A110" s="8">
        <v>0</v>
      </c>
      <c r="B110" s="84">
        <v>4</v>
      </c>
      <c r="C110" s="85">
        <v>549</v>
      </c>
      <c r="D110" s="9"/>
      <c r="E110" s="9">
        <f t="shared" si="34"/>
        <v>613.68934286001695</v>
      </c>
      <c r="F110" s="9">
        <f t="shared" si="35"/>
        <v>4184.7110796608258</v>
      </c>
      <c r="G110" s="11">
        <f t="shared" si="36"/>
        <v>532.58620689655174</v>
      </c>
      <c r="H110" s="9"/>
      <c r="I110" s="9">
        <f t="shared" si="37"/>
        <v>610.49609006011394</v>
      </c>
      <c r="J110" s="9">
        <f t="shared" si="38"/>
        <v>3781.7690926816449</v>
      </c>
      <c r="K110" s="9"/>
      <c r="L110" s="9">
        <f t="shared" si="39"/>
        <v>612.35446404883271</v>
      </c>
      <c r="M110" s="9">
        <f t="shared" si="40"/>
        <v>4013.7881149148366</v>
      </c>
      <c r="N110" s="9"/>
      <c r="O110" s="9">
        <f t="shared" si="41"/>
        <v>535.16831759485285</v>
      </c>
      <c r="P110" s="9">
        <f t="shared" si="42"/>
        <v>191.3154381568572</v>
      </c>
      <c r="Q110" s="3"/>
      <c r="AC110" s="5"/>
      <c r="AD110" s="5"/>
      <c r="AE110" s="5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</row>
    <row r="111" spans="1:43" x14ac:dyDescent="0.3">
      <c r="A111" s="8">
        <v>0</v>
      </c>
      <c r="B111" s="84">
        <v>4</v>
      </c>
      <c r="C111" s="85">
        <v>552</v>
      </c>
      <c r="D111" s="9"/>
      <c r="E111" s="9">
        <f t="shared" si="34"/>
        <v>613.68934286001695</v>
      </c>
      <c r="F111" s="9">
        <f t="shared" si="35"/>
        <v>3805.5750225007241</v>
      </c>
      <c r="G111" s="11">
        <f t="shared" si="36"/>
        <v>532.58620689655174</v>
      </c>
      <c r="H111" s="9"/>
      <c r="I111" s="9">
        <f t="shared" si="37"/>
        <v>610.49609006011394</v>
      </c>
      <c r="J111" s="9">
        <f t="shared" si="38"/>
        <v>3421.792552320961</v>
      </c>
      <c r="K111" s="9"/>
      <c r="L111" s="9">
        <f t="shared" si="39"/>
        <v>612.35446404883271</v>
      </c>
      <c r="M111" s="9">
        <f t="shared" si="40"/>
        <v>3642.6613306218401</v>
      </c>
      <c r="N111" s="9"/>
      <c r="O111" s="9">
        <f t="shared" si="41"/>
        <v>535.16831759485285</v>
      </c>
      <c r="P111" s="9">
        <f t="shared" si="42"/>
        <v>283.30553258774012</v>
      </c>
      <c r="Q111" s="3"/>
      <c r="AC111" s="5"/>
      <c r="AD111" s="5"/>
      <c r="AE111" s="5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</row>
    <row r="112" spans="1:43" x14ac:dyDescent="0.3">
      <c r="A112" s="8">
        <v>0</v>
      </c>
      <c r="B112" s="84">
        <v>4</v>
      </c>
      <c r="C112" s="85">
        <v>473</v>
      </c>
      <c r="D112" s="9"/>
      <c r="E112" s="9">
        <f t="shared" si="34"/>
        <v>613.68934286001695</v>
      </c>
      <c r="F112" s="9">
        <f t="shared" si="35"/>
        <v>19793.491194383401</v>
      </c>
      <c r="G112" s="11">
        <f t="shared" si="36"/>
        <v>532.58620689655174</v>
      </c>
      <c r="H112" s="9"/>
      <c r="I112" s="9">
        <f t="shared" si="37"/>
        <v>610.49609006011394</v>
      </c>
      <c r="J112" s="9">
        <f t="shared" si="38"/>
        <v>18905.174781818965</v>
      </c>
      <c r="K112" s="9"/>
      <c r="L112" s="9">
        <f t="shared" si="39"/>
        <v>612.35446404883271</v>
      </c>
      <c r="M112" s="9">
        <f t="shared" si="40"/>
        <v>19419.666650337407</v>
      </c>
      <c r="N112" s="9"/>
      <c r="O112" s="9">
        <f t="shared" si="41"/>
        <v>535.16831759485285</v>
      </c>
      <c r="P112" s="9">
        <f t="shared" si="42"/>
        <v>3864.8997125744904</v>
      </c>
      <c r="AC112" s="5"/>
      <c r="AD112" s="5"/>
      <c r="AE112" s="5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</row>
    <row r="113" spans="1:43" x14ac:dyDescent="0.3">
      <c r="A113" s="8">
        <v>0</v>
      </c>
      <c r="B113" s="84">
        <v>4</v>
      </c>
      <c r="C113" s="85">
        <v>350</v>
      </c>
      <c r="D113" s="9"/>
      <c r="E113" s="9">
        <f t="shared" si="34"/>
        <v>613.68934286001695</v>
      </c>
      <c r="F113" s="9">
        <f t="shared" si="35"/>
        <v>69532.069537947566</v>
      </c>
      <c r="G113" s="11">
        <f t="shared" si="36"/>
        <v>532.58620689655174</v>
      </c>
      <c r="H113" s="9"/>
      <c r="I113" s="9">
        <f t="shared" si="37"/>
        <v>610.49609006011394</v>
      </c>
      <c r="J113" s="9">
        <f t="shared" si="38"/>
        <v>67858.212936607</v>
      </c>
      <c r="K113" s="9"/>
      <c r="L113" s="9">
        <f t="shared" si="39"/>
        <v>612.35446404883271</v>
      </c>
      <c r="M113" s="9">
        <f t="shared" si="40"/>
        <v>68829.864806350262</v>
      </c>
      <c r="N113" s="9"/>
      <c r="O113" s="9">
        <f t="shared" si="41"/>
        <v>535.16831759485285</v>
      </c>
      <c r="P113" s="9">
        <f t="shared" si="42"/>
        <v>34287.305840908295</v>
      </c>
      <c r="Q113" s="3"/>
      <c r="AC113" s="5"/>
      <c r="AD113" s="5"/>
      <c r="AE113" s="5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</row>
    <row r="114" spans="1:43" x14ac:dyDescent="0.3">
      <c r="A114" s="8">
        <v>0</v>
      </c>
      <c r="B114" s="84">
        <v>4</v>
      </c>
      <c r="C114" s="85">
        <v>626</v>
      </c>
      <c r="D114" s="9"/>
      <c r="E114" s="9">
        <f t="shared" si="34"/>
        <v>613.68934286001695</v>
      </c>
      <c r="F114" s="9">
        <f t="shared" si="35"/>
        <v>151.55227921821566</v>
      </c>
      <c r="G114" s="11">
        <f t="shared" si="36"/>
        <v>532.58620689655174</v>
      </c>
      <c r="H114" s="9"/>
      <c r="I114" s="9">
        <f t="shared" si="37"/>
        <v>610.49609006011394</v>
      </c>
      <c r="J114" s="9">
        <f t="shared" si="38"/>
        <v>240.37122342409768</v>
      </c>
      <c r="K114" s="9"/>
      <c r="L114" s="9">
        <f t="shared" si="39"/>
        <v>612.35446404883271</v>
      </c>
      <c r="M114" s="9">
        <f t="shared" si="40"/>
        <v>186.20065139459899</v>
      </c>
      <c r="N114" s="9"/>
      <c r="O114" s="9">
        <f t="shared" si="41"/>
        <v>535.16831759485285</v>
      </c>
      <c r="P114" s="9">
        <f t="shared" si="42"/>
        <v>8250.3945285495174</v>
      </c>
      <c r="Q114" s="3"/>
      <c r="AC114" s="5"/>
      <c r="AD114" s="5"/>
      <c r="AE114" s="5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</row>
    <row r="115" spans="1:43" x14ac:dyDescent="0.3">
      <c r="A115" s="8"/>
      <c r="B115" s="8"/>
      <c r="C115" s="9"/>
      <c r="D115" s="9"/>
      <c r="E115" s="9"/>
      <c r="F115" s="9"/>
      <c r="G115" s="11"/>
      <c r="H115" s="9"/>
      <c r="I115" s="9"/>
      <c r="J115" s="9"/>
      <c r="K115" s="9"/>
      <c r="L115" s="9"/>
      <c r="M115" s="9"/>
      <c r="N115" s="9"/>
      <c r="O115" s="9"/>
      <c r="P115" s="9"/>
      <c r="Q115" s="3"/>
      <c r="AC115" s="5"/>
      <c r="AD115" s="5"/>
      <c r="AE115" s="5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</row>
    <row r="116" spans="1:43" x14ac:dyDescent="0.3">
      <c r="A116" s="8"/>
      <c r="B116" s="8"/>
      <c r="C116" s="9"/>
      <c r="D116" s="9"/>
      <c r="E116" s="9"/>
      <c r="F116" s="9"/>
      <c r="G116" s="11"/>
      <c r="H116" s="9"/>
      <c r="I116" s="9"/>
      <c r="J116" s="9"/>
      <c r="K116" s="9"/>
      <c r="L116" s="9"/>
      <c r="M116" s="9"/>
      <c r="N116" s="9"/>
      <c r="O116" s="9"/>
      <c r="P116" s="9"/>
      <c r="Q116" s="3"/>
      <c r="AC116" s="5"/>
      <c r="AD116" s="5"/>
      <c r="AE116" s="5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</row>
    <row r="117" spans="1:43" x14ac:dyDescent="0.3">
      <c r="A117" s="8"/>
      <c r="B117" s="8"/>
      <c r="C117" s="9"/>
      <c r="D117" s="9"/>
      <c r="E117" s="9"/>
      <c r="F117" s="9"/>
      <c r="G117" s="11"/>
      <c r="H117" s="9"/>
      <c r="I117" s="9"/>
      <c r="J117" s="9"/>
      <c r="K117" s="9"/>
      <c r="L117" s="9"/>
      <c r="M117" s="9"/>
      <c r="N117" s="9"/>
      <c r="O117" s="9"/>
      <c r="P117" s="9"/>
      <c r="Q117" s="3"/>
      <c r="AC117" s="5"/>
      <c r="AD117" s="5"/>
      <c r="AE117" s="5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</row>
    <row r="118" spans="1:43" x14ac:dyDescent="0.3">
      <c r="A118" s="8"/>
      <c r="B118" s="8"/>
      <c r="C118" s="9"/>
      <c r="D118" s="9"/>
      <c r="E118" s="9"/>
      <c r="F118" s="9"/>
      <c r="G118" s="11"/>
      <c r="H118" s="9"/>
      <c r="I118" s="9"/>
      <c r="J118" s="9"/>
      <c r="K118" s="9"/>
      <c r="L118" s="9"/>
      <c r="M118" s="9"/>
      <c r="N118" s="9"/>
      <c r="O118" s="9"/>
      <c r="P118" s="9"/>
      <c r="Q118" s="3"/>
      <c r="AC118" s="5"/>
      <c r="AD118" s="5"/>
      <c r="AE118" s="5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</row>
    <row r="119" spans="1:43" x14ac:dyDescent="0.3">
      <c r="A119" s="8"/>
      <c r="B119" s="8"/>
      <c r="C119" s="9"/>
      <c r="D119" s="9"/>
      <c r="E119" s="9"/>
      <c r="F119" s="9"/>
      <c r="G119" s="11"/>
      <c r="H119" s="9"/>
      <c r="I119" s="9"/>
      <c r="J119" s="9"/>
      <c r="K119" s="9"/>
      <c r="L119" s="9"/>
      <c r="M119" s="9"/>
      <c r="N119" s="9"/>
      <c r="O119" s="9"/>
      <c r="P119" s="9"/>
      <c r="Q119" s="3"/>
      <c r="AC119" s="5"/>
      <c r="AD119" s="5"/>
      <c r="AE119" s="5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</row>
    <row r="120" spans="1:43" x14ac:dyDescent="0.3">
      <c r="A120" s="8"/>
      <c r="B120" s="8"/>
      <c r="C120" s="9"/>
      <c r="D120" s="9"/>
      <c r="E120" s="9"/>
      <c r="F120" s="9"/>
      <c r="G120" s="11"/>
      <c r="H120" s="9"/>
      <c r="I120" s="9"/>
      <c r="J120" s="9"/>
      <c r="K120" s="9"/>
      <c r="L120" s="9"/>
      <c r="M120" s="9"/>
      <c r="N120" s="9"/>
      <c r="O120" s="9"/>
      <c r="P120" s="9"/>
      <c r="Q120" s="3"/>
      <c r="AC120" s="5"/>
      <c r="AD120" s="5"/>
      <c r="AE120" s="5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</row>
    <row r="121" spans="1:43" x14ac:dyDescent="0.3">
      <c r="A121" s="8"/>
      <c r="B121" s="8"/>
      <c r="C121" s="9"/>
      <c r="D121" s="9"/>
      <c r="E121" s="9"/>
      <c r="F121" s="9"/>
      <c r="G121" s="11"/>
      <c r="H121" s="9"/>
      <c r="I121" s="9"/>
      <c r="J121" s="9"/>
      <c r="K121" s="9"/>
      <c r="L121" s="9"/>
      <c r="M121" s="9"/>
      <c r="N121" s="9"/>
      <c r="O121" s="9"/>
      <c r="P121" s="9"/>
      <c r="Q121" s="3"/>
      <c r="AC121" s="5"/>
      <c r="AD121" s="5"/>
      <c r="AE121" s="5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</row>
    <row r="122" spans="1:43" x14ac:dyDescent="0.3">
      <c r="A122" s="8"/>
      <c r="B122" s="8"/>
      <c r="C122" s="9"/>
      <c r="D122" s="9"/>
      <c r="E122" s="9"/>
      <c r="F122" s="9"/>
      <c r="G122" s="11"/>
      <c r="H122" s="9"/>
      <c r="I122" s="9"/>
      <c r="J122" s="9"/>
      <c r="K122" s="9"/>
      <c r="L122" s="9"/>
      <c r="M122" s="9"/>
      <c r="N122" s="9"/>
      <c r="O122" s="9"/>
      <c r="P122" s="9"/>
      <c r="Q122" s="3"/>
      <c r="AC122" s="5"/>
      <c r="AD122" s="5"/>
      <c r="AE122" s="5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</row>
    <row r="123" spans="1:43" x14ac:dyDescent="0.3">
      <c r="A123" s="8"/>
      <c r="B123" s="8"/>
      <c r="C123" s="9"/>
      <c r="D123" s="9"/>
      <c r="E123" s="9"/>
      <c r="F123" s="9"/>
      <c r="G123" s="11"/>
      <c r="H123" s="9"/>
      <c r="I123" s="9"/>
      <c r="J123" s="9"/>
      <c r="K123" s="9"/>
      <c r="L123" s="9"/>
      <c r="M123" s="9"/>
      <c r="N123" s="9"/>
      <c r="O123" s="9"/>
      <c r="P123" s="9"/>
      <c r="Q123" s="3"/>
      <c r="AC123" s="5"/>
      <c r="AD123" s="5"/>
      <c r="AE123" s="5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</row>
    <row r="124" spans="1:43" x14ac:dyDescent="0.3">
      <c r="A124" s="8"/>
      <c r="B124" s="8"/>
      <c r="C124" s="9"/>
      <c r="D124" s="9"/>
      <c r="E124" s="9"/>
      <c r="F124" s="9"/>
      <c r="G124" s="11"/>
      <c r="H124" s="9"/>
      <c r="I124" s="9"/>
      <c r="J124" s="9"/>
      <c r="K124" s="9"/>
      <c r="L124" s="9"/>
      <c r="M124" s="9"/>
      <c r="N124" s="9"/>
      <c r="O124" s="9"/>
      <c r="P124" s="9"/>
      <c r="Q124" s="3"/>
      <c r="AC124" s="5"/>
      <c r="AD124" s="5"/>
      <c r="AE124" s="5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</row>
    <row r="125" spans="1:43" x14ac:dyDescent="0.3">
      <c r="A125" s="8"/>
      <c r="B125" s="8"/>
      <c r="C125" s="9"/>
      <c r="D125" s="9"/>
      <c r="E125" s="9"/>
      <c r="F125" s="9"/>
      <c r="G125" s="11"/>
      <c r="H125" s="9"/>
      <c r="I125" s="9"/>
      <c r="J125" s="9"/>
      <c r="K125" s="9"/>
      <c r="L125" s="9"/>
      <c r="M125" s="9"/>
      <c r="N125" s="9"/>
      <c r="O125" s="9"/>
      <c r="P125" s="9"/>
      <c r="Q125" s="3"/>
      <c r="AC125" s="5"/>
      <c r="AD125" s="5"/>
      <c r="AE125" s="5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</row>
    <row r="126" spans="1:43" x14ac:dyDescent="0.3">
      <c r="A126" s="8"/>
      <c r="B126" s="8"/>
      <c r="C126" s="9"/>
      <c r="D126" s="9"/>
      <c r="E126" s="9"/>
      <c r="F126" s="9"/>
      <c r="G126" s="11"/>
      <c r="H126" s="9"/>
      <c r="I126" s="9"/>
      <c r="J126" s="9"/>
      <c r="K126" s="9"/>
      <c r="L126" s="9"/>
      <c r="M126" s="9"/>
      <c r="N126" s="9"/>
      <c r="O126" s="9"/>
      <c r="P126" s="9"/>
      <c r="Q126" s="3"/>
      <c r="AC126" s="5"/>
      <c r="AD126" s="5"/>
      <c r="AE126" s="5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</row>
    <row r="127" spans="1:43" x14ac:dyDescent="0.3">
      <c r="A127" s="8"/>
      <c r="B127" s="8"/>
      <c r="C127" s="9"/>
      <c r="D127" s="9"/>
      <c r="E127" s="9"/>
      <c r="F127" s="9"/>
      <c r="G127" s="11"/>
      <c r="H127" s="9"/>
      <c r="I127" s="9"/>
      <c r="J127" s="9"/>
      <c r="K127" s="9"/>
      <c r="L127" s="9"/>
      <c r="M127" s="9"/>
      <c r="N127" s="9"/>
      <c r="O127" s="9"/>
      <c r="P127" s="9"/>
      <c r="Q127" s="3"/>
      <c r="AC127" s="5"/>
      <c r="AD127" s="5"/>
      <c r="AE127" s="5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</row>
    <row r="128" spans="1:43" x14ac:dyDescent="0.3">
      <c r="A128" s="8"/>
      <c r="B128" s="8"/>
      <c r="C128" s="9"/>
      <c r="D128" s="9"/>
      <c r="E128" s="9"/>
      <c r="F128" s="9"/>
      <c r="G128" s="11"/>
      <c r="H128" s="9"/>
      <c r="I128" s="9"/>
      <c r="J128" s="9"/>
      <c r="K128" s="9"/>
      <c r="L128" s="9"/>
      <c r="M128" s="9"/>
      <c r="N128" s="9"/>
      <c r="O128" s="9"/>
      <c r="P128" s="9"/>
      <c r="Q128" s="3"/>
      <c r="AC128" s="5"/>
      <c r="AD128" s="5"/>
      <c r="AE128" s="5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</row>
    <row r="129" spans="1:43" x14ac:dyDescent="0.3">
      <c r="A129" s="8"/>
      <c r="B129" s="8"/>
      <c r="C129" s="9"/>
      <c r="D129" s="9"/>
      <c r="E129" s="9"/>
      <c r="F129" s="9"/>
      <c r="G129" s="11"/>
      <c r="H129" s="9"/>
      <c r="I129" s="9"/>
      <c r="J129" s="9"/>
      <c r="K129" s="9"/>
      <c r="L129" s="9"/>
      <c r="M129" s="9"/>
      <c r="N129" s="9"/>
      <c r="O129" s="9"/>
      <c r="P129" s="9"/>
      <c r="Q129" s="3"/>
      <c r="AC129" s="5"/>
      <c r="AD129" s="5"/>
      <c r="AE129" s="5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</row>
    <row r="130" spans="1:43" x14ac:dyDescent="0.3">
      <c r="A130" s="8"/>
      <c r="B130" s="8"/>
      <c r="C130" s="9"/>
      <c r="D130" s="9"/>
      <c r="E130" s="9"/>
      <c r="F130" s="9"/>
      <c r="G130" s="11"/>
      <c r="H130" s="9"/>
      <c r="I130" s="9"/>
      <c r="J130" s="9"/>
      <c r="K130" s="9"/>
      <c r="L130" s="9"/>
      <c r="M130" s="9"/>
      <c r="N130" s="9"/>
      <c r="O130" s="9"/>
      <c r="P130" s="9"/>
      <c r="Q130" s="3"/>
      <c r="AC130" s="5"/>
      <c r="AD130" s="5"/>
      <c r="AE130" s="5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</row>
    <row r="131" spans="1:43" x14ac:dyDescent="0.3">
      <c r="A131" s="8"/>
      <c r="B131" s="8"/>
      <c r="C131" s="9"/>
      <c r="D131" s="9"/>
      <c r="E131" s="9"/>
      <c r="F131" s="9"/>
      <c r="G131" s="11"/>
      <c r="H131" s="9"/>
      <c r="I131" s="9"/>
      <c r="J131" s="9"/>
      <c r="K131" s="9"/>
      <c r="L131" s="9"/>
      <c r="M131" s="9"/>
      <c r="N131" s="9"/>
      <c r="O131" s="9"/>
      <c r="P131" s="9"/>
      <c r="Q131" s="3"/>
      <c r="AC131" s="5"/>
      <c r="AD131" s="5"/>
      <c r="AE131" s="5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</row>
    <row r="132" spans="1:43" x14ac:dyDescent="0.3">
      <c r="A132" s="8"/>
      <c r="B132" s="8"/>
      <c r="C132" s="9"/>
      <c r="D132" s="9"/>
      <c r="E132" s="9"/>
      <c r="F132" s="9"/>
      <c r="G132" s="11"/>
      <c r="H132" s="9"/>
      <c r="I132" s="9"/>
      <c r="J132" s="9"/>
      <c r="K132" s="9"/>
      <c r="L132" s="9"/>
      <c r="M132" s="9"/>
      <c r="N132" s="9"/>
      <c r="O132" s="9"/>
      <c r="P132" s="9"/>
      <c r="Q132" s="3"/>
      <c r="AC132" s="5"/>
      <c r="AD132" s="5"/>
      <c r="AE132" s="5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</row>
    <row r="133" spans="1:43" x14ac:dyDescent="0.3">
      <c r="A133" s="8"/>
      <c r="B133" s="8"/>
      <c r="C133" s="9"/>
      <c r="D133" s="9"/>
      <c r="E133" s="9"/>
      <c r="F133" s="9"/>
      <c r="G133" s="11"/>
      <c r="H133" s="9"/>
      <c r="I133" s="9"/>
      <c r="J133" s="9"/>
      <c r="K133" s="9"/>
      <c r="L133" s="9"/>
      <c r="M133" s="9"/>
      <c r="N133" s="9"/>
      <c r="O133" s="9"/>
      <c r="P133" s="9"/>
      <c r="Q133" s="3"/>
      <c r="AC133" s="5"/>
      <c r="AD133" s="5"/>
      <c r="AE133" s="5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</row>
    <row r="134" spans="1:43" x14ac:dyDescent="0.3">
      <c r="A134" s="8"/>
      <c r="B134" s="8"/>
      <c r="C134" s="9"/>
      <c r="D134" s="9"/>
      <c r="E134" s="9"/>
      <c r="F134" s="9"/>
      <c r="G134" s="11"/>
      <c r="H134" s="9"/>
      <c r="I134" s="9"/>
      <c r="J134" s="9"/>
      <c r="K134" s="9"/>
      <c r="L134" s="9"/>
      <c r="M134" s="9"/>
      <c r="N134" s="9"/>
      <c r="O134" s="9"/>
      <c r="P134" s="9"/>
      <c r="Q134" s="3"/>
      <c r="AC134" s="5"/>
      <c r="AD134" s="5"/>
      <c r="AE134" s="5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</row>
    <row r="135" spans="1:43" x14ac:dyDescent="0.3">
      <c r="A135" s="86">
        <v>6.2500000000000003E-3</v>
      </c>
      <c r="B135" s="86">
        <v>0.1875</v>
      </c>
      <c r="C135" s="87">
        <v>820</v>
      </c>
      <c r="D135" s="15"/>
      <c r="E135" s="15">
        <f>CA(A135,B135,$E$2,$E$3,$E$4,$E$5,$E$6)</f>
        <v>725.00944092269469</v>
      </c>
      <c r="F135" s="15">
        <f>($C135-E135)^2</f>
        <v>9023.2063138190297</v>
      </c>
      <c r="G135" s="11">
        <f>$G$25</f>
        <v>532.58620689655174</v>
      </c>
      <c r="H135" s="15"/>
      <c r="I135" s="15">
        <f>CA_SA(A135,B135,$I$2,$I$3,$I$4,$I$5,$I$6,$I$7)</f>
        <v>728.24801505780124</v>
      </c>
      <c r="J135" s="15">
        <f>($C135-I135)^2</f>
        <v>8418.4267408334672</v>
      </c>
      <c r="K135" s="15"/>
      <c r="L135" s="15">
        <f>CA_DR(A135,B135,$L$2,$L$3,$L$4,$L$5,$L$6,$L$7,$L$8)</f>
        <v>728.93699973253979</v>
      </c>
      <c r="M135" s="15">
        <f>($C135-L135)^2</f>
        <v>8292.4700177114591</v>
      </c>
      <c r="N135" s="15"/>
      <c r="O135" s="15">
        <f>CA_DL(A135,B135,$O$2,$O$3,$O$4,$O$5,$O$6,$O$7,$O$8)</f>
        <v>786.46078215987518</v>
      </c>
      <c r="P135" s="15">
        <f>($C135-O135)^2</f>
        <v>1124.8791333273471</v>
      </c>
      <c r="Q135" s="3" t="s">
        <v>33</v>
      </c>
      <c r="AC135" s="5"/>
      <c r="AD135" s="5"/>
      <c r="AE135" s="5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</row>
    <row r="136" spans="1:43" x14ac:dyDescent="0.3">
      <c r="A136" s="86">
        <v>6.2500000000000003E-3</v>
      </c>
      <c r="B136" s="86">
        <v>0.1875</v>
      </c>
      <c r="C136" s="87">
        <v>843</v>
      </c>
      <c r="D136" s="15"/>
      <c r="E136" s="15">
        <f t="shared" ref="E136:E199" si="43">CA(A136,B136,$E$2,$E$3,$E$4,$E$5,$E$6)</f>
        <v>725.00944092269469</v>
      </c>
      <c r="F136" s="15">
        <f t="shared" ref="F136:F199" si="44">($C136-E136)^2</f>
        <v>13921.772031375074</v>
      </c>
      <c r="G136" s="11">
        <f t="shared" ref="G136:G199" si="45">$G$25</f>
        <v>532.58620689655174</v>
      </c>
      <c r="H136" s="15"/>
      <c r="I136" s="15">
        <f t="shared" ref="I136:I199" si="46">CA_SA(A136,B136,$I$2,$I$3,$I$4,$I$5,$I$6,$I$7)</f>
        <v>728.24801505780124</v>
      </c>
      <c r="J136" s="15">
        <f t="shared" ref="J136:J199" si="47">($C136-I136)^2</f>
        <v>13168.01804817461</v>
      </c>
      <c r="K136" s="15"/>
      <c r="L136" s="15">
        <f t="shared" ref="L136:L199" si="48">CA_DR(A136,B136,$L$2,$L$3,$L$4,$L$5,$L$6,$L$7,$L$8)</f>
        <v>728.93699973253979</v>
      </c>
      <c r="M136" s="15">
        <f t="shared" ref="M136:M199" si="49">($C136-L136)^2</f>
        <v>13010.368030014628</v>
      </c>
      <c r="N136" s="15"/>
      <c r="O136" s="15">
        <f t="shared" ref="O136:O199" si="50">CA_DL(A136,B136,$O$2,$O$3,$O$4,$O$5,$O$6,$O$7,$O$8)</f>
        <v>786.46078215987518</v>
      </c>
      <c r="P136" s="15">
        <f t="shared" ref="P136:P199" si="51">($C136-O136)^2</f>
        <v>3196.6831539730888</v>
      </c>
      <c r="Q136" s="3"/>
      <c r="AC136" s="5"/>
      <c r="AD136" s="5"/>
      <c r="AE136" s="5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</row>
    <row r="137" spans="1:43" x14ac:dyDescent="0.3">
      <c r="A137" s="86">
        <v>6.2500000000000003E-3</v>
      </c>
      <c r="B137" s="86">
        <v>0.1875</v>
      </c>
      <c r="C137" s="87">
        <v>888</v>
      </c>
      <c r="D137" s="15"/>
      <c r="E137" s="15">
        <f t="shared" si="43"/>
        <v>725.00944092269469</v>
      </c>
      <c r="F137" s="15">
        <f t="shared" si="44"/>
        <v>26565.922348332551</v>
      </c>
      <c r="G137" s="11">
        <f t="shared" si="45"/>
        <v>532.58620689655174</v>
      </c>
      <c r="H137" s="15"/>
      <c r="I137" s="15">
        <f t="shared" si="46"/>
        <v>728.24801505780124</v>
      </c>
      <c r="J137" s="15">
        <f t="shared" si="47"/>
        <v>25520.696692972499</v>
      </c>
      <c r="K137" s="15"/>
      <c r="L137" s="15">
        <f t="shared" si="48"/>
        <v>728.93699973253979</v>
      </c>
      <c r="M137" s="15">
        <f t="shared" si="49"/>
        <v>25301.038054086046</v>
      </c>
      <c r="N137" s="15"/>
      <c r="O137" s="15">
        <f t="shared" si="50"/>
        <v>786.46078215987518</v>
      </c>
      <c r="P137" s="15">
        <f t="shared" si="51"/>
        <v>10310.212759584323</v>
      </c>
      <c r="Q137" s="3"/>
      <c r="AC137" s="5"/>
      <c r="AD137" s="5"/>
      <c r="AE137" s="5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</row>
    <row r="138" spans="1:43" x14ac:dyDescent="0.3">
      <c r="A138" s="86">
        <v>6.2500000000000003E-3</v>
      </c>
      <c r="B138" s="86">
        <v>0.1875</v>
      </c>
      <c r="C138" s="87">
        <v>820</v>
      </c>
      <c r="D138" s="15"/>
      <c r="E138" s="15">
        <f t="shared" si="43"/>
        <v>725.00944092269469</v>
      </c>
      <c r="F138" s="15">
        <f t="shared" si="44"/>
        <v>9023.2063138190297</v>
      </c>
      <c r="G138" s="11">
        <f t="shared" si="45"/>
        <v>532.58620689655174</v>
      </c>
      <c r="H138" s="15"/>
      <c r="I138" s="15">
        <f t="shared" si="46"/>
        <v>728.24801505780124</v>
      </c>
      <c r="J138" s="15">
        <f t="shared" si="47"/>
        <v>8418.4267408334672</v>
      </c>
      <c r="K138" s="15"/>
      <c r="L138" s="15">
        <f t="shared" si="48"/>
        <v>728.93699973253979</v>
      </c>
      <c r="M138" s="15">
        <f t="shared" si="49"/>
        <v>8292.4700177114591</v>
      </c>
      <c r="N138" s="15"/>
      <c r="O138" s="15">
        <f t="shared" si="50"/>
        <v>786.46078215987518</v>
      </c>
      <c r="P138" s="15">
        <f t="shared" si="51"/>
        <v>1124.8791333273471</v>
      </c>
      <c r="Q138" s="3"/>
      <c r="AC138" s="5"/>
      <c r="AD138" s="5"/>
      <c r="AE138" s="5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</row>
    <row r="139" spans="1:43" x14ac:dyDescent="0.3">
      <c r="A139" s="86">
        <v>6.2500000000000003E-3</v>
      </c>
      <c r="B139" s="86">
        <v>0.1875</v>
      </c>
      <c r="C139" s="87">
        <v>811</v>
      </c>
      <c r="D139" s="15"/>
      <c r="E139" s="15">
        <f t="shared" si="43"/>
        <v>725.00944092269469</v>
      </c>
      <c r="F139" s="15">
        <f t="shared" si="44"/>
        <v>7394.3762504275337</v>
      </c>
      <c r="G139" s="11">
        <f t="shared" si="45"/>
        <v>532.58620689655174</v>
      </c>
      <c r="H139" s="15"/>
      <c r="I139" s="15">
        <f t="shared" si="46"/>
        <v>728.24801505780124</v>
      </c>
      <c r="J139" s="15">
        <f t="shared" si="47"/>
        <v>6847.8910118738904</v>
      </c>
      <c r="K139" s="15"/>
      <c r="L139" s="15">
        <f t="shared" si="48"/>
        <v>728.93699973253979</v>
      </c>
      <c r="M139" s="15">
        <f t="shared" si="49"/>
        <v>6734.3360128971744</v>
      </c>
      <c r="N139" s="15"/>
      <c r="O139" s="15">
        <f t="shared" si="50"/>
        <v>786.46078215987518</v>
      </c>
      <c r="P139" s="15">
        <f t="shared" si="51"/>
        <v>602.1732122051003</v>
      </c>
      <c r="Q139" s="3"/>
      <c r="AC139" s="5"/>
      <c r="AD139" s="5"/>
      <c r="AE139" s="5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</row>
    <row r="140" spans="1:43" x14ac:dyDescent="0.3">
      <c r="A140" s="86">
        <v>1.2500000000000001E-2</v>
      </c>
      <c r="B140" s="86">
        <v>0.375</v>
      </c>
      <c r="C140" s="87">
        <v>886</v>
      </c>
      <c r="D140" s="15"/>
      <c r="E140" s="15">
        <f t="shared" si="43"/>
        <v>702.55083099096419</v>
      </c>
      <c r="F140" s="15">
        <f t="shared" si="44"/>
        <v>33653.597610105789</v>
      </c>
      <c r="G140" s="11">
        <f t="shared" si="45"/>
        <v>532.58620689655174</v>
      </c>
      <c r="H140" s="15"/>
      <c r="I140" s="15">
        <f t="shared" si="46"/>
        <v>707.55552791316177</v>
      </c>
      <c r="J140" s="15">
        <f t="shared" si="47"/>
        <v>31842.42961835039</v>
      </c>
      <c r="K140" s="15"/>
      <c r="L140" s="15">
        <f t="shared" si="48"/>
        <v>708.20163744389015</v>
      </c>
      <c r="M140" s="15">
        <f t="shared" si="49"/>
        <v>31612.257727633885</v>
      </c>
      <c r="N140" s="15"/>
      <c r="O140" s="15">
        <f t="shared" si="50"/>
        <v>779.56770615523737</v>
      </c>
      <c r="P140" s="15">
        <f t="shared" si="51"/>
        <v>11327.833173057896</v>
      </c>
      <c r="Q140" s="3"/>
      <c r="AC140" s="5"/>
      <c r="AD140" s="5"/>
      <c r="AE140" s="5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</row>
    <row r="141" spans="1:43" x14ac:dyDescent="0.3">
      <c r="A141" s="86">
        <v>1.2500000000000001E-2</v>
      </c>
      <c r="B141" s="86">
        <v>0.375</v>
      </c>
      <c r="C141" s="87">
        <v>832</v>
      </c>
      <c r="D141" s="15"/>
      <c r="E141" s="15">
        <f t="shared" si="43"/>
        <v>702.55083099096419</v>
      </c>
      <c r="F141" s="15">
        <f t="shared" si="44"/>
        <v>16757.08735712992</v>
      </c>
      <c r="G141" s="11">
        <f t="shared" si="45"/>
        <v>532.58620689655174</v>
      </c>
      <c r="H141" s="15"/>
      <c r="I141" s="15">
        <f t="shared" si="46"/>
        <v>707.55552791316177</v>
      </c>
      <c r="J141" s="15">
        <f t="shared" si="47"/>
        <v>15486.426632971859</v>
      </c>
      <c r="K141" s="15"/>
      <c r="L141" s="15">
        <f t="shared" si="48"/>
        <v>708.20163744389015</v>
      </c>
      <c r="M141" s="15">
        <f t="shared" si="49"/>
        <v>15326.034571574022</v>
      </c>
      <c r="N141" s="15"/>
      <c r="O141" s="15">
        <f t="shared" si="50"/>
        <v>779.56770615523737</v>
      </c>
      <c r="P141" s="15">
        <f t="shared" si="51"/>
        <v>2749.1454378235326</v>
      </c>
      <c r="Q141" s="3"/>
      <c r="AC141" s="5"/>
      <c r="AD141" s="5"/>
      <c r="AE141" s="5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</row>
    <row r="142" spans="1:43" x14ac:dyDescent="0.3">
      <c r="A142" s="86">
        <v>1.2500000000000001E-2</v>
      </c>
      <c r="B142" s="86">
        <v>0.375</v>
      </c>
      <c r="C142" s="87">
        <v>762</v>
      </c>
      <c r="D142" s="15"/>
      <c r="E142" s="15">
        <f t="shared" si="43"/>
        <v>702.55083099096419</v>
      </c>
      <c r="F142" s="15">
        <f t="shared" si="44"/>
        <v>3534.2036958649041</v>
      </c>
      <c r="G142" s="11">
        <f t="shared" si="45"/>
        <v>532.58620689655174</v>
      </c>
      <c r="H142" s="15"/>
      <c r="I142" s="15">
        <f t="shared" si="46"/>
        <v>707.55552791316177</v>
      </c>
      <c r="J142" s="15">
        <f t="shared" si="47"/>
        <v>2964.2005408145073</v>
      </c>
      <c r="K142" s="15"/>
      <c r="L142" s="15">
        <f t="shared" si="48"/>
        <v>708.20163744389015</v>
      </c>
      <c r="M142" s="15">
        <f t="shared" si="49"/>
        <v>2894.2638137186423</v>
      </c>
      <c r="N142" s="15"/>
      <c r="O142" s="15">
        <f t="shared" si="50"/>
        <v>779.56770615523737</v>
      </c>
      <c r="P142" s="15">
        <f t="shared" si="51"/>
        <v>308.62429955676515</v>
      </c>
      <c r="Q142" s="3"/>
      <c r="AC142" s="5"/>
      <c r="AD142" s="5"/>
      <c r="AE142" s="5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</row>
    <row r="143" spans="1:43" x14ac:dyDescent="0.3">
      <c r="A143" s="86">
        <v>1.2500000000000001E-2</v>
      </c>
      <c r="B143" s="86">
        <v>0.375</v>
      </c>
      <c r="C143" s="87">
        <v>821</v>
      </c>
      <c r="D143" s="15"/>
      <c r="E143" s="15">
        <f t="shared" si="43"/>
        <v>702.55083099096419</v>
      </c>
      <c r="F143" s="15">
        <f t="shared" si="44"/>
        <v>14030.205638931131</v>
      </c>
      <c r="G143" s="11">
        <f t="shared" si="45"/>
        <v>532.58620689655174</v>
      </c>
      <c r="H143" s="15"/>
      <c r="I143" s="15">
        <f t="shared" si="46"/>
        <v>707.55552791316177</v>
      </c>
      <c r="J143" s="15">
        <f t="shared" si="47"/>
        <v>12869.648247061419</v>
      </c>
      <c r="K143" s="15"/>
      <c r="L143" s="15">
        <f t="shared" si="48"/>
        <v>708.20163744389015</v>
      </c>
      <c r="M143" s="15">
        <f t="shared" si="49"/>
        <v>12723.470595339604</v>
      </c>
      <c r="N143" s="15"/>
      <c r="O143" s="15">
        <f t="shared" si="50"/>
        <v>779.56770615523737</v>
      </c>
      <c r="P143" s="15">
        <f t="shared" si="51"/>
        <v>1716.634973238755</v>
      </c>
      <c r="Q143" s="3"/>
      <c r="AC143" s="5"/>
      <c r="AD143" s="5"/>
      <c r="AE143" s="5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</row>
    <row r="144" spans="1:43" x14ac:dyDescent="0.3">
      <c r="A144" s="86">
        <v>1.2500000000000001E-2</v>
      </c>
      <c r="B144" s="86">
        <v>0.375</v>
      </c>
      <c r="C144" s="87">
        <v>788</v>
      </c>
      <c r="D144" s="15"/>
      <c r="E144" s="15">
        <f t="shared" si="43"/>
        <v>702.55083099096419</v>
      </c>
      <c r="F144" s="15">
        <f t="shared" si="44"/>
        <v>7301.5604843347664</v>
      </c>
      <c r="G144" s="11">
        <f t="shared" si="45"/>
        <v>532.58620689655174</v>
      </c>
      <c r="H144" s="15"/>
      <c r="I144" s="15">
        <f t="shared" si="46"/>
        <v>707.55552791316177</v>
      </c>
      <c r="J144" s="15">
        <f t="shared" si="47"/>
        <v>6471.3130893300959</v>
      </c>
      <c r="K144" s="15"/>
      <c r="L144" s="15">
        <f t="shared" si="48"/>
        <v>708.20163744389015</v>
      </c>
      <c r="M144" s="15">
        <f t="shared" si="49"/>
        <v>6367.7786666363545</v>
      </c>
      <c r="N144" s="15"/>
      <c r="O144" s="15">
        <f t="shared" si="50"/>
        <v>779.56770615523737</v>
      </c>
      <c r="P144" s="15">
        <f t="shared" si="51"/>
        <v>71.103579484421658</v>
      </c>
      <c r="Q144" s="3"/>
      <c r="AC144" s="5"/>
      <c r="AD144" s="5"/>
      <c r="AE144" s="5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</row>
    <row r="145" spans="1:43" x14ac:dyDescent="0.3">
      <c r="A145" s="86">
        <v>2.5000000000000001E-2</v>
      </c>
      <c r="B145" s="86">
        <v>0.75</v>
      </c>
      <c r="C145" s="87">
        <v>749</v>
      </c>
      <c r="D145" s="15"/>
      <c r="E145" s="15">
        <f t="shared" si="43"/>
        <v>668.20722620480933</v>
      </c>
      <c r="F145" s="15">
        <f t="shared" si="44"/>
        <v>6527.4722975208479</v>
      </c>
      <c r="G145" s="11">
        <f t="shared" si="45"/>
        <v>532.58620689655174</v>
      </c>
      <c r="H145" s="15"/>
      <c r="I145" s="15">
        <f t="shared" si="46"/>
        <v>677.31533877568813</v>
      </c>
      <c r="J145" s="15">
        <f t="shared" si="47"/>
        <v>5138.6906548443612</v>
      </c>
      <c r="K145" s="15"/>
      <c r="L145" s="15">
        <f t="shared" si="48"/>
        <v>677.73655736104479</v>
      </c>
      <c r="M145" s="15">
        <f t="shared" si="49"/>
        <v>5078.4782567556595</v>
      </c>
      <c r="N145" s="15"/>
      <c r="O145" s="15">
        <f t="shared" si="50"/>
        <v>764.75890339124589</v>
      </c>
      <c r="P145" s="15">
        <f t="shared" si="51"/>
        <v>248.34303609462134</v>
      </c>
      <c r="Q145" s="3"/>
      <c r="AC145" s="5"/>
      <c r="AD145" s="5"/>
      <c r="AE145" s="5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</row>
    <row r="146" spans="1:43" x14ac:dyDescent="0.3">
      <c r="A146" s="86">
        <v>2.5000000000000001E-2</v>
      </c>
      <c r="B146" s="86">
        <v>0.75</v>
      </c>
      <c r="C146" s="87">
        <v>785</v>
      </c>
      <c r="D146" s="15"/>
      <c r="E146" s="15">
        <f t="shared" si="43"/>
        <v>668.20722620480933</v>
      </c>
      <c r="F146" s="15">
        <f t="shared" si="44"/>
        <v>13640.552010774576</v>
      </c>
      <c r="G146" s="11">
        <f t="shared" si="45"/>
        <v>532.58620689655174</v>
      </c>
      <c r="H146" s="15"/>
      <c r="I146" s="15">
        <f t="shared" si="46"/>
        <v>677.31533877568813</v>
      </c>
      <c r="J146" s="15">
        <f t="shared" si="47"/>
        <v>11595.986262994817</v>
      </c>
      <c r="K146" s="15"/>
      <c r="L146" s="15">
        <f t="shared" si="48"/>
        <v>677.73655736104479</v>
      </c>
      <c r="M146" s="15">
        <f t="shared" si="49"/>
        <v>11505.446126760435</v>
      </c>
      <c r="N146" s="15"/>
      <c r="O146" s="15">
        <f t="shared" si="50"/>
        <v>764.75890339124589</v>
      </c>
      <c r="P146" s="15">
        <f t="shared" si="51"/>
        <v>409.70199192491697</v>
      </c>
      <c r="Q146" s="3"/>
      <c r="AC146" s="5"/>
      <c r="AD146" s="5"/>
      <c r="AE146" s="5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</row>
    <row r="147" spans="1:43" x14ac:dyDescent="0.3">
      <c r="A147" s="86">
        <v>2.5000000000000001E-2</v>
      </c>
      <c r="B147" s="86">
        <v>0.75</v>
      </c>
      <c r="C147" s="87">
        <v>823</v>
      </c>
      <c r="D147" s="15"/>
      <c r="E147" s="15">
        <f t="shared" si="43"/>
        <v>668.20722620480933</v>
      </c>
      <c r="F147" s="15">
        <f t="shared" si="44"/>
        <v>23960.802819209068</v>
      </c>
      <c r="G147" s="11">
        <f t="shared" si="45"/>
        <v>532.58620689655174</v>
      </c>
      <c r="H147" s="15"/>
      <c r="I147" s="15">
        <f t="shared" si="46"/>
        <v>677.31533877568813</v>
      </c>
      <c r="J147" s="15">
        <f t="shared" si="47"/>
        <v>21224.020516042518</v>
      </c>
      <c r="K147" s="15"/>
      <c r="L147" s="15">
        <f t="shared" si="48"/>
        <v>677.73655736104479</v>
      </c>
      <c r="M147" s="15">
        <f t="shared" si="49"/>
        <v>21101.467767321032</v>
      </c>
      <c r="N147" s="15"/>
      <c r="O147" s="15">
        <f t="shared" si="50"/>
        <v>764.75890339124589</v>
      </c>
      <c r="P147" s="15">
        <f t="shared" si="51"/>
        <v>3392.0253341902289</v>
      </c>
      <c r="Q147" s="3"/>
      <c r="AC147" s="5"/>
      <c r="AD147" s="5"/>
      <c r="AE147" s="5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</row>
    <row r="148" spans="1:43" x14ac:dyDescent="0.3">
      <c r="A148" s="86">
        <v>2.5000000000000001E-2</v>
      </c>
      <c r="B148" s="86">
        <v>0.75</v>
      </c>
      <c r="C148" s="87">
        <v>717</v>
      </c>
      <c r="D148" s="15"/>
      <c r="E148" s="15">
        <f t="shared" si="43"/>
        <v>668.20722620480933</v>
      </c>
      <c r="F148" s="15">
        <f t="shared" si="44"/>
        <v>2380.7347746286455</v>
      </c>
      <c r="G148" s="11">
        <f t="shared" si="45"/>
        <v>532.58620689655174</v>
      </c>
      <c r="H148" s="15"/>
      <c r="I148" s="15">
        <f t="shared" si="46"/>
        <v>677.31533877568813</v>
      </c>
      <c r="J148" s="15">
        <f t="shared" si="47"/>
        <v>1574.8723364884017</v>
      </c>
      <c r="K148" s="15"/>
      <c r="L148" s="15">
        <f t="shared" si="48"/>
        <v>677.73655736104479</v>
      </c>
      <c r="M148" s="15">
        <f t="shared" si="49"/>
        <v>1541.6179278625261</v>
      </c>
      <c r="N148" s="15"/>
      <c r="O148" s="15">
        <f t="shared" si="50"/>
        <v>764.75890339124589</v>
      </c>
      <c r="P148" s="15">
        <f t="shared" si="51"/>
        <v>2280.9128531343586</v>
      </c>
      <c r="Q148" s="3"/>
      <c r="AC148" s="5"/>
      <c r="AD148" s="5"/>
      <c r="AE148" s="5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</row>
    <row r="149" spans="1:43" x14ac:dyDescent="0.3">
      <c r="A149" s="86">
        <v>2.5000000000000001E-2</v>
      </c>
      <c r="B149" s="86">
        <v>0.75</v>
      </c>
      <c r="C149" s="87">
        <v>721</v>
      </c>
      <c r="D149" s="15"/>
      <c r="E149" s="15">
        <f t="shared" si="43"/>
        <v>668.20722620480933</v>
      </c>
      <c r="F149" s="15">
        <f t="shared" si="44"/>
        <v>2787.0769649901708</v>
      </c>
      <c r="G149" s="11">
        <f t="shared" si="45"/>
        <v>532.58620689655174</v>
      </c>
      <c r="H149" s="15"/>
      <c r="I149" s="15">
        <f t="shared" si="46"/>
        <v>677.31533877568813</v>
      </c>
      <c r="J149" s="15">
        <f t="shared" si="47"/>
        <v>1908.3496262828967</v>
      </c>
      <c r="K149" s="15"/>
      <c r="L149" s="15">
        <f t="shared" si="48"/>
        <v>677.73655736104479</v>
      </c>
      <c r="M149" s="15">
        <f t="shared" si="49"/>
        <v>1871.7254689741678</v>
      </c>
      <c r="N149" s="15"/>
      <c r="O149" s="15">
        <f t="shared" si="50"/>
        <v>764.75890339124589</v>
      </c>
      <c r="P149" s="15">
        <f t="shared" si="51"/>
        <v>1914.8416260043914</v>
      </c>
      <c r="Q149" s="3"/>
      <c r="AC149" s="5"/>
      <c r="AD149" s="5"/>
      <c r="AE149" s="5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</row>
    <row r="150" spans="1:43" x14ac:dyDescent="0.3">
      <c r="A150" s="86">
        <v>0.05</v>
      </c>
      <c r="B150" s="86">
        <v>1.5</v>
      </c>
      <c r="C150" s="87">
        <v>636</v>
      </c>
      <c r="D150" s="15"/>
      <c r="E150" s="15">
        <f t="shared" si="43"/>
        <v>596.46931976279348</v>
      </c>
      <c r="F150" s="15">
        <f t="shared" si="44"/>
        <v>1562.6746800162705</v>
      </c>
      <c r="G150" s="11">
        <f t="shared" si="45"/>
        <v>532.58620689655174</v>
      </c>
      <c r="H150" s="15"/>
      <c r="I150" s="15">
        <f t="shared" si="46"/>
        <v>621.40365389601266</v>
      </c>
      <c r="J150" s="15">
        <f t="shared" si="47"/>
        <v>213.05331958738651</v>
      </c>
      <c r="K150" s="15"/>
      <c r="L150" s="15">
        <f t="shared" si="48"/>
        <v>621.06449932270084</v>
      </c>
      <c r="M150" s="15">
        <f t="shared" si="49"/>
        <v>223.06918048160367</v>
      </c>
      <c r="N150" s="15"/>
      <c r="O150" s="15">
        <f t="shared" si="50"/>
        <v>722.01137925287162</v>
      </c>
      <c r="P150" s="15">
        <f t="shared" si="51"/>
        <v>7397.9573609813142</v>
      </c>
      <c r="Q150" s="3"/>
      <c r="AC150" s="5"/>
      <c r="AD150" s="5"/>
      <c r="AE150" s="5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</row>
    <row r="151" spans="1:43" x14ac:dyDescent="0.3">
      <c r="A151" s="86">
        <v>0.05</v>
      </c>
      <c r="B151" s="86">
        <v>1.5</v>
      </c>
      <c r="C151" s="87">
        <v>951</v>
      </c>
      <c r="D151" s="15"/>
      <c r="E151" s="15">
        <f t="shared" si="43"/>
        <v>596.46931976279348</v>
      </c>
      <c r="F151" s="15">
        <f t="shared" si="44"/>
        <v>125692.00322945639</v>
      </c>
      <c r="G151" s="11">
        <f t="shared" si="45"/>
        <v>532.58620689655174</v>
      </c>
      <c r="H151" s="15"/>
      <c r="I151" s="15">
        <f t="shared" si="46"/>
        <v>621.40365389601266</v>
      </c>
      <c r="J151" s="15">
        <f t="shared" si="47"/>
        <v>108633.75136509941</v>
      </c>
      <c r="K151" s="15"/>
      <c r="L151" s="15">
        <f t="shared" si="48"/>
        <v>621.06449932270084</v>
      </c>
      <c r="M151" s="15">
        <f t="shared" si="49"/>
        <v>108857.43460718007</v>
      </c>
      <c r="N151" s="15"/>
      <c r="O151" s="15">
        <f t="shared" si="50"/>
        <v>722.01137925287162</v>
      </c>
      <c r="P151" s="15">
        <f t="shared" si="51"/>
        <v>52435.78843167219</v>
      </c>
      <c r="Q151" s="3"/>
      <c r="AC151" s="5"/>
      <c r="AD151" s="5"/>
      <c r="AE151" s="5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</row>
    <row r="152" spans="1:43" x14ac:dyDescent="0.3">
      <c r="A152" s="86">
        <v>0.05</v>
      </c>
      <c r="B152" s="86">
        <v>1.5</v>
      </c>
      <c r="C152" s="87">
        <v>568</v>
      </c>
      <c r="D152" s="15"/>
      <c r="E152" s="15">
        <f t="shared" si="43"/>
        <v>596.46931976279348</v>
      </c>
      <c r="F152" s="15">
        <f t="shared" si="44"/>
        <v>810.5021677561831</v>
      </c>
      <c r="G152" s="11">
        <f t="shared" si="45"/>
        <v>532.58620689655174</v>
      </c>
      <c r="H152" s="15"/>
      <c r="I152" s="15">
        <f t="shared" si="46"/>
        <v>621.40365389601266</v>
      </c>
      <c r="J152" s="15">
        <f t="shared" si="47"/>
        <v>2851.9502494451076</v>
      </c>
      <c r="K152" s="15"/>
      <c r="L152" s="15">
        <f t="shared" si="48"/>
        <v>621.06449932270084</v>
      </c>
      <c r="M152" s="15">
        <f t="shared" si="49"/>
        <v>2815.841088368918</v>
      </c>
      <c r="N152" s="15"/>
      <c r="O152" s="15">
        <f t="shared" si="50"/>
        <v>722.01137925287162</v>
      </c>
      <c r="P152" s="15">
        <f t="shared" si="51"/>
        <v>23719.504939371855</v>
      </c>
      <c r="Q152" s="3"/>
      <c r="AC152" s="5"/>
      <c r="AD152" s="5"/>
      <c r="AE152" s="5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</row>
    <row r="153" spans="1:43" x14ac:dyDescent="0.3">
      <c r="A153" s="86">
        <v>0.05</v>
      </c>
      <c r="B153" s="86">
        <v>1.5</v>
      </c>
      <c r="C153" s="87">
        <v>904</v>
      </c>
      <c r="D153" s="15"/>
      <c r="E153" s="15">
        <f t="shared" si="43"/>
        <v>596.46931976279348</v>
      </c>
      <c r="F153" s="15">
        <f t="shared" si="44"/>
        <v>94575.119287158974</v>
      </c>
      <c r="G153" s="11">
        <f t="shared" si="45"/>
        <v>532.58620689655174</v>
      </c>
      <c r="H153" s="15"/>
      <c r="I153" s="15">
        <f t="shared" si="46"/>
        <v>621.40365389601266</v>
      </c>
      <c r="J153" s="15">
        <f t="shared" si="47"/>
        <v>79860.694831324596</v>
      </c>
      <c r="K153" s="15"/>
      <c r="L153" s="15">
        <f t="shared" si="48"/>
        <v>621.06449932270084</v>
      </c>
      <c r="M153" s="15">
        <f t="shared" si="49"/>
        <v>80052.497543513949</v>
      </c>
      <c r="N153" s="15"/>
      <c r="O153" s="15">
        <f t="shared" si="50"/>
        <v>722.01137925287162</v>
      </c>
      <c r="P153" s="15">
        <f t="shared" si="51"/>
        <v>33119.858081442129</v>
      </c>
      <c r="Q153" s="3"/>
      <c r="AC153" s="5"/>
      <c r="AD153" s="5"/>
      <c r="AE153" s="5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</row>
    <row r="154" spans="1:43" x14ac:dyDescent="0.3">
      <c r="A154" s="86">
        <v>0.05</v>
      </c>
      <c r="B154" s="86">
        <v>1.5</v>
      </c>
      <c r="C154" s="87">
        <v>907</v>
      </c>
      <c r="D154" s="15"/>
      <c r="E154" s="15">
        <f t="shared" si="43"/>
        <v>596.46931976279348</v>
      </c>
      <c r="F154" s="15">
        <f t="shared" si="44"/>
        <v>96429.303368582201</v>
      </c>
      <c r="G154" s="11">
        <f t="shared" si="45"/>
        <v>532.58620689655174</v>
      </c>
      <c r="H154" s="15"/>
      <c r="I154" s="15">
        <f t="shared" si="46"/>
        <v>621.40365389601266</v>
      </c>
      <c r="J154" s="15">
        <f t="shared" si="47"/>
        <v>81565.272907948529</v>
      </c>
      <c r="K154" s="15"/>
      <c r="L154" s="15">
        <f t="shared" si="48"/>
        <v>621.06449932270084</v>
      </c>
      <c r="M154" s="15">
        <f t="shared" si="49"/>
        <v>81759.110547577744</v>
      </c>
      <c r="N154" s="15"/>
      <c r="O154" s="15">
        <f t="shared" si="50"/>
        <v>722.01137925287162</v>
      </c>
      <c r="P154" s="15">
        <f t="shared" si="51"/>
        <v>34220.789805924898</v>
      </c>
      <c r="Q154" s="3"/>
      <c r="AC154" s="5"/>
      <c r="AD154" s="5"/>
      <c r="AE154" s="5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</row>
    <row r="155" spans="1:43" x14ac:dyDescent="0.3">
      <c r="A155" s="86">
        <v>0.1</v>
      </c>
      <c r="B155" s="86">
        <v>3</v>
      </c>
      <c r="C155" s="87">
        <v>287</v>
      </c>
      <c r="D155" s="15"/>
      <c r="E155" s="15">
        <f t="shared" si="43"/>
        <v>177.90378979735269</v>
      </c>
      <c r="F155" s="15">
        <f t="shared" si="44"/>
        <v>11901.983080580208</v>
      </c>
      <c r="G155" s="11">
        <f t="shared" si="45"/>
        <v>532.58620689655174</v>
      </c>
      <c r="H155" s="15"/>
      <c r="I155" s="15">
        <f t="shared" si="46"/>
        <v>300.61809909385249</v>
      </c>
      <c r="J155" s="15">
        <f t="shared" si="47"/>
        <v>185.45262292998609</v>
      </c>
      <c r="K155" s="15"/>
      <c r="L155" s="15">
        <f t="shared" si="48"/>
        <v>308.51462740429668</v>
      </c>
      <c r="M155" s="15">
        <f t="shared" si="49"/>
        <v>462.87919234571348</v>
      </c>
      <c r="N155" s="15"/>
      <c r="O155" s="15">
        <f t="shared" si="50"/>
        <v>263.72889464009688</v>
      </c>
      <c r="P155" s="15">
        <f t="shared" si="51"/>
        <v>541.54434467171166</v>
      </c>
      <c r="Q155" s="3"/>
      <c r="AE155" s="5"/>
      <c r="AF155" s="3"/>
      <c r="AG155" s="3"/>
      <c r="AH155" s="3"/>
      <c r="AI155" s="3"/>
      <c r="AL155" s="3"/>
      <c r="AM155" s="3"/>
      <c r="AN155" s="3"/>
      <c r="AO155" s="3"/>
      <c r="AP155" s="3"/>
      <c r="AQ155" s="3"/>
    </row>
    <row r="156" spans="1:43" x14ac:dyDescent="0.3">
      <c r="A156" s="86">
        <v>0.1</v>
      </c>
      <c r="B156" s="86">
        <v>3</v>
      </c>
      <c r="C156" s="87">
        <v>347</v>
      </c>
      <c r="D156" s="15"/>
      <c r="E156" s="15">
        <f t="shared" si="43"/>
        <v>177.90378979735269</v>
      </c>
      <c r="F156" s="15">
        <f t="shared" si="44"/>
        <v>28593.528304897885</v>
      </c>
      <c r="G156" s="11">
        <f t="shared" si="45"/>
        <v>532.58620689655174</v>
      </c>
      <c r="H156" s="15"/>
      <c r="I156" s="15">
        <f t="shared" si="46"/>
        <v>300.61809909385249</v>
      </c>
      <c r="J156" s="15">
        <f t="shared" si="47"/>
        <v>2151.2807316676867</v>
      </c>
      <c r="K156" s="15"/>
      <c r="L156" s="15">
        <f t="shared" si="48"/>
        <v>308.51462740429668</v>
      </c>
      <c r="M156" s="15">
        <f t="shared" si="49"/>
        <v>1481.1239038301126</v>
      </c>
      <c r="N156" s="15"/>
      <c r="O156" s="15">
        <f t="shared" si="50"/>
        <v>263.72889464009688</v>
      </c>
      <c r="P156" s="15">
        <f t="shared" si="51"/>
        <v>6934.0769878600859</v>
      </c>
      <c r="Q156" s="3"/>
      <c r="AE156" s="5"/>
      <c r="AF156" s="3"/>
      <c r="AG156" s="3"/>
      <c r="AH156" s="3"/>
      <c r="AI156" s="3"/>
      <c r="AL156" s="3"/>
      <c r="AM156" s="3"/>
      <c r="AN156" s="3"/>
      <c r="AO156" s="3"/>
      <c r="AP156" s="3"/>
      <c r="AQ156" s="3"/>
    </row>
    <row r="157" spans="1:43" x14ac:dyDescent="0.3">
      <c r="A157" s="86">
        <v>0.1</v>
      </c>
      <c r="B157" s="86">
        <v>3</v>
      </c>
      <c r="C157" s="87">
        <v>387</v>
      </c>
      <c r="D157" s="15"/>
      <c r="E157" s="15">
        <f t="shared" si="43"/>
        <v>177.90378979735269</v>
      </c>
      <c r="F157" s="15">
        <f t="shared" si="44"/>
        <v>43721.225121109674</v>
      </c>
      <c r="G157" s="11">
        <f t="shared" si="45"/>
        <v>532.58620689655174</v>
      </c>
      <c r="H157" s="15"/>
      <c r="I157" s="15">
        <f t="shared" si="46"/>
        <v>300.61809909385249</v>
      </c>
      <c r="J157" s="15">
        <f t="shared" si="47"/>
        <v>7461.8328041594878</v>
      </c>
      <c r="K157" s="15"/>
      <c r="L157" s="15">
        <f t="shared" si="48"/>
        <v>308.51462740429668</v>
      </c>
      <c r="M157" s="15">
        <f t="shared" si="49"/>
        <v>6159.9537114863788</v>
      </c>
      <c r="N157" s="15"/>
      <c r="O157" s="15">
        <f t="shared" si="50"/>
        <v>263.72889464009688</v>
      </c>
      <c r="P157" s="15">
        <f t="shared" si="51"/>
        <v>15195.765416652335</v>
      </c>
      <c r="Q157" s="3"/>
      <c r="AE157" s="5"/>
      <c r="AF157" s="3"/>
      <c r="AG157" s="3"/>
      <c r="AH157" s="3"/>
      <c r="AI157" s="3"/>
      <c r="AL157" s="3"/>
      <c r="AM157" s="3"/>
      <c r="AN157" s="3"/>
      <c r="AO157" s="3"/>
      <c r="AP157" s="3"/>
      <c r="AQ157" s="3"/>
    </row>
    <row r="158" spans="1:43" x14ac:dyDescent="0.3">
      <c r="A158" s="86">
        <v>0.1</v>
      </c>
      <c r="B158" s="86">
        <v>3</v>
      </c>
      <c r="C158" s="87">
        <v>187</v>
      </c>
      <c r="D158" s="15"/>
      <c r="E158" s="15">
        <f t="shared" si="43"/>
        <v>177.90378979735269</v>
      </c>
      <c r="F158" s="15">
        <f t="shared" si="44"/>
        <v>82.74104005074507</v>
      </c>
      <c r="G158" s="11">
        <f t="shared" si="45"/>
        <v>532.58620689655174</v>
      </c>
      <c r="H158" s="15"/>
      <c r="I158" s="15">
        <f t="shared" si="46"/>
        <v>300.61809909385249</v>
      </c>
      <c r="J158" s="15">
        <f t="shared" si="47"/>
        <v>12909.072441700484</v>
      </c>
      <c r="K158" s="15"/>
      <c r="L158" s="15">
        <f t="shared" si="48"/>
        <v>308.51462740429668</v>
      </c>
      <c r="M158" s="15">
        <f t="shared" si="49"/>
        <v>14765.804673205048</v>
      </c>
      <c r="N158" s="15"/>
      <c r="O158" s="15">
        <f t="shared" si="50"/>
        <v>263.72889464009688</v>
      </c>
      <c r="P158" s="15">
        <f t="shared" si="51"/>
        <v>5887.3232726910883</v>
      </c>
      <c r="Q158" s="3"/>
      <c r="AE158" s="5"/>
      <c r="AF158" s="3"/>
      <c r="AG158" s="3"/>
      <c r="AH158" s="3"/>
      <c r="AI158" s="3"/>
      <c r="AL158" s="3"/>
      <c r="AM158" s="3"/>
      <c r="AN158" s="3"/>
      <c r="AO158" s="3"/>
      <c r="AP158" s="3"/>
      <c r="AQ158" s="3"/>
    </row>
    <row r="159" spans="1:43" x14ac:dyDescent="0.3">
      <c r="A159" s="86">
        <v>0.1</v>
      </c>
      <c r="B159" s="86">
        <v>3</v>
      </c>
      <c r="C159" s="87">
        <v>187</v>
      </c>
      <c r="D159" s="15"/>
      <c r="E159" s="15">
        <f t="shared" si="43"/>
        <v>177.90378979735269</v>
      </c>
      <c r="F159" s="15">
        <f t="shared" si="44"/>
        <v>82.74104005074507</v>
      </c>
      <c r="G159" s="11">
        <f t="shared" si="45"/>
        <v>532.58620689655174</v>
      </c>
      <c r="H159" s="15"/>
      <c r="I159" s="15">
        <f t="shared" si="46"/>
        <v>300.61809909385249</v>
      </c>
      <c r="J159" s="15">
        <f t="shared" si="47"/>
        <v>12909.072441700484</v>
      </c>
      <c r="K159" s="15"/>
      <c r="L159" s="15">
        <f t="shared" si="48"/>
        <v>308.51462740429668</v>
      </c>
      <c r="M159" s="15">
        <f t="shared" si="49"/>
        <v>14765.804673205048</v>
      </c>
      <c r="N159" s="15"/>
      <c r="O159" s="15">
        <f t="shared" si="50"/>
        <v>263.72889464009688</v>
      </c>
      <c r="P159" s="15">
        <f t="shared" si="51"/>
        <v>5887.3232726910883</v>
      </c>
      <c r="Q159" s="3"/>
      <c r="AE159" s="5"/>
      <c r="AF159" s="3"/>
      <c r="AG159" s="3"/>
      <c r="AH159" s="3"/>
      <c r="AI159" s="3"/>
      <c r="AL159" s="3"/>
      <c r="AM159" s="3"/>
      <c r="AN159" s="3"/>
      <c r="AO159" s="3"/>
      <c r="AP159" s="3"/>
      <c r="AQ159" s="3"/>
    </row>
    <row r="160" spans="1:43" x14ac:dyDescent="0.3">
      <c r="A160" s="86">
        <v>1.8749999999999999E-2</v>
      </c>
      <c r="B160" s="86">
        <v>6.25E-2</v>
      </c>
      <c r="C160" s="87">
        <v>789</v>
      </c>
      <c r="D160" s="15"/>
      <c r="E160" s="15">
        <f t="shared" si="43"/>
        <v>742.03276951798853</v>
      </c>
      <c r="F160" s="15">
        <f t="shared" si="44"/>
        <v>2205.9207391503878</v>
      </c>
      <c r="G160" s="11">
        <f t="shared" si="45"/>
        <v>532.58620689655174</v>
      </c>
      <c r="H160" s="15"/>
      <c r="I160" s="15">
        <f t="shared" si="46"/>
        <v>740.75552115766641</v>
      </c>
      <c r="J160" s="15">
        <f t="shared" si="47"/>
        <v>2327.5297387683736</v>
      </c>
      <c r="K160" s="15"/>
      <c r="L160" s="15">
        <f t="shared" si="48"/>
        <v>741.16368147136268</v>
      </c>
      <c r="M160" s="15">
        <f t="shared" si="49"/>
        <v>2288.3133703732501</v>
      </c>
      <c r="N160" s="15"/>
      <c r="O160" s="15">
        <f t="shared" si="50"/>
        <v>689.11113141053875</v>
      </c>
      <c r="P160" s="15">
        <f t="shared" si="51"/>
        <v>9977.7860680826598</v>
      </c>
      <c r="Q160" s="3"/>
      <c r="AE160" s="5"/>
      <c r="AF160" s="3"/>
      <c r="AG160" s="3"/>
      <c r="AH160" s="3"/>
      <c r="AI160" s="3"/>
      <c r="AL160" s="3"/>
      <c r="AM160" s="3"/>
      <c r="AN160" s="3"/>
      <c r="AO160" s="3"/>
      <c r="AP160" s="3"/>
      <c r="AQ160" s="3"/>
    </row>
    <row r="161" spans="1:43" x14ac:dyDescent="0.3">
      <c r="A161" s="86">
        <v>1.8749999999999999E-2</v>
      </c>
      <c r="B161" s="86">
        <v>6.25E-2</v>
      </c>
      <c r="C161" s="87">
        <v>765</v>
      </c>
      <c r="D161" s="15"/>
      <c r="E161" s="15">
        <f t="shared" si="43"/>
        <v>742.03276951798853</v>
      </c>
      <c r="F161" s="15">
        <f t="shared" si="44"/>
        <v>527.49367601383699</v>
      </c>
      <c r="G161" s="11">
        <f t="shared" si="45"/>
        <v>532.58620689655174</v>
      </c>
      <c r="H161" s="15"/>
      <c r="I161" s="15">
        <f t="shared" si="46"/>
        <v>740.75552115766641</v>
      </c>
      <c r="J161" s="15">
        <f t="shared" si="47"/>
        <v>587.79475433636117</v>
      </c>
      <c r="K161" s="15"/>
      <c r="L161" s="15">
        <f t="shared" si="48"/>
        <v>741.16368147136268</v>
      </c>
      <c r="M161" s="15">
        <f t="shared" si="49"/>
        <v>568.17008099865882</v>
      </c>
      <c r="N161" s="15"/>
      <c r="O161" s="15">
        <f t="shared" si="50"/>
        <v>689.11113141053875</v>
      </c>
      <c r="P161" s="15">
        <f t="shared" si="51"/>
        <v>5759.1203757885187</v>
      </c>
      <c r="Q161" s="3"/>
      <c r="AE161" s="5"/>
      <c r="AF161" s="3"/>
      <c r="AG161" s="3"/>
      <c r="AH161" s="3"/>
      <c r="AI161" s="3"/>
      <c r="AL161" s="3"/>
      <c r="AM161" s="3"/>
      <c r="AN161" s="3"/>
      <c r="AO161" s="3"/>
      <c r="AP161" s="3"/>
      <c r="AQ161" s="3"/>
    </row>
    <row r="162" spans="1:43" x14ac:dyDescent="0.3">
      <c r="A162" s="86">
        <v>1.8749999999999999E-2</v>
      </c>
      <c r="B162" s="86">
        <v>6.25E-2</v>
      </c>
      <c r="C162" s="87">
        <v>559</v>
      </c>
      <c r="D162" s="15"/>
      <c r="E162" s="15">
        <f t="shared" si="43"/>
        <v>742.03276951798853</v>
      </c>
      <c r="F162" s="15">
        <f t="shared" si="44"/>
        <v>33500.994717425107</v>
      </c>
      <c r="G162" s="11">
        <f t="shared" si="45"/>
        <v>532.58620689655174</v>
      </c>
      <c r="H162" s="15"/>
      <c r="I162" s="15">
        <f t="shared" si="46"/>
        <v>740.75552115766641</v>
      </c>
      <c r="J162" s="15">
        <f t="shared" si="47"/>
        <v>33035.069471294919</v>
      </c>
      <c r="K162" s="15"/>
      <c r="L162" s="15">
        <f t="shared" si="48"/>
        <v>741.16368147136268</v>
      </c>
      <c r="M162" s="15">
        <f t="shared" si="49"/>
        <v>33183.606847200084</v>
      </c>
      <c r="N162" s="15"/>
      <c r="O162" s="15">
        <f t="shared" si="50"/>
        <v>689.11113141053875</v>
      </c>
      <c r="P162" s="15">
        <f t="shared" si="51"/>
        <v>16928.906516930481</v>
      </c>
      <c r="Q162" s="3"/>
      <c r="AE162" s="5"/>
      <c r="AF162" s="3"/>
      <c r="AG162" s="3"/>
      <c r="AH162" s="3"/>
      <c r="AI162" s="3"/>
      <c r="AL162" s="3"/>
      <c r="AM162" s="3"/>
      <c r="AN162" s="3"/>
      <c r="AO162" s="3"/>
      <c r="AP162" s="3"/>
      <c r="AQ162" s="3"/>
    </row>
    <row r="163" spans="1:43" x14ac:dyDescent="0.3">
      <c r="A163" s="86">
        <v>1.8749999999999999E-2</v>
      </c>
      <c r="B163" s="86">
        <v>6.25E-2</v>
      </c>
      <c r="C163" s="87">
        <v>801</v>
      </c>
      <c r="D163" s="15"/>
      <c r="E163" s="15">
        <f t="shared" si="43"/>
        <v>742.03276951798853</v>
      </c>
      <c r="F163" s="15">
        <f t="shared" si="44"/>
        <v>3477.1342707186632</v>
      </c>
      <c r="G163" s="11">
        <f t="shared" si="45"/>
        <v>532.58620689655174</v>
      </c>
      <c r="H163" s="15"/>
      <c r="I163" s="15">
        <f t="shared" si="46"/>
        <v>740.75552115766641</v>
      </c>
      <c r="J163" s="15">
        <f t="shared" si="47"/>
        <v>3629.3972309843798</v>
      </c>
      <c r="K163" s="15"/>
      <c r="L163" s="15">
        <f t="shared" si="48"/>
        <v>741.16368147136268</v>
      </c>
      <c r="M163" s="15">
        <f t="shared" si="49"/>
        <v>3580.3850150605458</v>
      </c>
      <c r="N163" s="15"/>
      <c r="O163" s="15">
        <f t="shared" si="50"/>
        <v>689.11113141053875</v>
      </c>
      <c r="P163" s="15">
        <f t="shared" si="51"/>
        <v>12519.11891422973</v>
      </c>
      <c r="Q163" s="3"/>
      <c r="AE163" s="5"/>
      <c r="AF163" s="3"/>
      <c r="AG163" s="3"/>
      <c r="AH163" s="3"/>
      <c r="AI163" s="3"/>
      <c r="AL163" s="3"/>
      <c r="AM163" s="3"/>
      <c r="AN163" s="3"/>
      <c r="AO163" s="3"/>
      <c r="AP163" s="3"/>
      <c r="AQ163" s="3"/>
    </row>
    <row r="164" spans="1:43" x14ac:dyDescent="0.3">
      <c r="A164" s="86">
        <v>1.8749999999999999E-2</v>
      </c>
      <c r="B164" s="86">
        <v>6.25E-2</v>
      </c>
      <c r="C164" s="87">
        <v>700</v>
      </c>
      <c r="D164" s="15"/>
      <c r="E164" s="15">
        <f t="shared" si="43"/>
        <v>742.03276951798853</v>
      </c>
      <c r="F164" s="15">
        <f t="shared" si="44"/>
        <v>1766.7537133523454</v>
      </c>
      <c r="G164" s="11">
        <f t="shared" si="45"/>
        <v>532.58620689655174</v>
      </c>
      <c r="H164" s="15"/>
      <c r="I164" s="15">
        <f t="shared" si="46"/>
        <v>740.75552115766641</v>
      </c>
      <c r="J164" s="15">
        <f t="shared" si="47"/>
        <v>1661.0125048329942</v>
      </c>
      <c r="K164" s="15"/>
      <c r="L164" s="15">
        <f t="shared" si="48"/>
        <v>741.16368147136268</v>
      </c>
      <c r="M164" s="15">
        <f t="shared" si="49"/>
        <v>1694.4486722758072</v>
      </c>
      <c r="N164" s="15"/>
      <c r="O164" s="15">
        <f t="shared" si="50"/>
        <v>689.11113141053875</v>
      </c>
      <c r="P164" s="15">
        <f t="shared" si="51"/>
        <v>118.56745915855591</v>
      </c>
      <c r="Q164" s="3"/>
      <c r="AE164" s="5"/>
      <c r="AF164" s="3"/>
      <c r="AG164" s="3"/>
      <c r="AH164" s="3"/>
      <c r="AI164" s="3"/>
      <c r="AL164" s="3"/>
      <c r="AM164" s="3"/>
      <c r="AN164" s="3"/>
      <c r="AO164" s="3"/>
      <c r="AP164" s="3"/>
      <c r="AQ164" s="3"/>
    </row>
    <row r="165" spans="1:43" x14ac:dyDescent="0.3">
      <c r="A165" s="86">
        <v>3.7499999999999999E-2</v>
      </c>
      <c r="B165" s="86">
        <v>0.125</v>
      </c>
      <c r="C165" s="87">
        <v>739</v>
      </c>
      <c r="D165" s="15"/>
      <c r="E165" s="15">
        <f t="shared" si="43"/>
        <v>711.62227343248082</v>
      </c>
      <c r="F165" s="15">
        <f t="shared" si="44"/>
        <v>749.53991200584528</v>
      </c>
      <c r="G165" s="11">
        <f t="shared" si="45"/>
        <v>532.58620689655174</v>
      </c>
      <c r="H165" s="15"/>
      <c r="I165" s="15">
        <f t="shared" si="46"/>
        <v>710.09125225498792</v>
      </c>
      <c r="J165" s="15">
        <f t="shared" si="47"/>
        <v>835.71569618474098</v>
      </c>
      <c r="K165" s="15"/>
      <c r="L165" s="15">
        <f t="shared" si="48"/>
        <v>709.92905346292264</v>
      </c>
      <c r="M165" s="15">
        <f t="shared" si="49"/>
        <v>845.1199325616102</v>
      </c>
      <c r="N165" s="15"/>
      <c r="O165" s="15">
        <f t="shared" si="50"/>
        <v>663.43164352323697</v>
      </c>
      <c r="P165" s="15">
        <f t="shared" si="51"/>
        <v>5710.5765005991325</v>
      </c>
      <c r="Q165" s="3"/>
    </row>
    <row r="166" spans="1:43" x14ac:dyDescent="0.3">
      <c r="A166" s="86">
        <v>3.7499999999999999E-2</v>
      </c>
      <c r="B166" s="86">
        <v>0.125</v>
      </c>
      <c r="C166" s="87">
        <v>669</v>
      </c>
      <c r="D166" s="15"/>
      <c r="E166" s="15">
        <f t="shared" si="43"/>
        <v>711.62227343248082</v>
      </c>
      <c r="F166" s="15">
        <f t="shared" si="44"/>
        <v>1816.6581925531607</v>
      </c>
      <c r="G166" s="11">
        <f t="shared" si="45"/>
        <v>532.58620689655174</v>
      </c>
      <c r="H166" s="15"/>
      <c r="I166" s="15">
        <f t="shared" si="46"/>
        <v>710.09125225498792</v>
      </c>
      <c r="J166" s="15">
        <f t="shared" si="47"/>
        <v>1688.4910118830499</v>
      </c>
      <c r="K166" s="15"/>
      <c r="L166" s="15">
        <f t="shared" si="48"/>
        <v>709.92905346292264</v>
      </c>
      <c r="M166" s="15">
        <f t="shared" si="49"/>
        <v>1675.1874173707797</v>
      </c>
      <c r="N166" s="15"/>
      <c r="O166" s="15">
        <f t="shared" si="50"/>
        <v>663.43164352323697</v>
      </c>
      <c r="P166" s="15">
        <f t="shared" si="51"/>
        <v>31.006593852308772</v>
      </c>
      <c r="Q166" s="3"/>
    </row>
    <row r="167" spans="1:43" x14ac:dyDescent="0.3">
      <c r="A167" s="86">
        <v>3.7499999999999999E-2</v>
      </c>
      <c r="B167" s="86">
        <v>0.125</v>
      </c>
      <c r="C167" s="87">
        <v>732</v>
      </c>
      <c r="D167" s="15"/>
      <c r="E167" s="15">
        <f t="shared" si="43"/>
        <v>711.62227343248082</v>
      </c>
      <c r="F167" s="15">
        <f t="shared" si="44"/>
        <v>415.25174006057682</v>
      </c>
      <c r="G167" s="11">
        <f t="shared" si="45"/>
        <v>532.58620689655174</v>
      </c>
      <c r="H167" s="15"/>
      <c r="I167" s="15">
        <f t="shared" si="46"/>
        <v>710.09125225498792</v>
      </c>
      <c r="J167" s="15">
        <f t="shared" si="47"/>
        <v>479.99322775457182</v>
      </c>
      <c r="K167" s="15"/>
      <c r="L167" s="15">
        <f t="shared" si="48"/>
        <v>709.92905346292264</v>
      </c>
      <c r="M167" s="15">
        <f t="shared" si="49"/>
        <v>487.1266810425272</v>
      </c>
      <c r="N167" s="15"/>
      <c r="O167" s="15">
        <f t="shared" si="50"/>
        <v>663.43164352323697</v>
      </c>
      <c r="P167" s="15">
        <f t="shared" si="51"/>
        <v>4701.6195099244505</v>
      </c>
      <c r="Q167" s="3"/>
    </row>
    <row r="168" spans="1:43" x14ac:dyDescent="0.3">
      <c r="A168" s="86">
        <v>3.7499999999999999E-2</v>
      </c>
      <c r="B168" s="86">
        <v>0.125</v>
      </c>
      <c r="C168" s="87">
        <v>774</v>
      </c>
      <c r="D168" s="15"/>
      <c r="E168" s="15">
        <f t="shared" si="43"/>
        <v>711.62227343248082</v>
      </c>
      <c r="F168" s="15">
        <f t="shared" si="44"/>
        <v>3890.9807717321878</v>
      </c>
      <c r="G168" s="11">
        <f t="shared" si="45"/>
        <v>532.58620689655174</v>
      </c>
      <c r="H168" s="15"/>
      <c r="I168" s="15">
        <f t="shared" si="46"/>
        <v>710.09125225498792</v>
      </c>
      <c r="J168" s="15">
        <f t="shared" si="47"/>
        <v>4084.3280383355864</v>
      </c>
      <c r="K168" s="15"/>
      <c r="L168" s="15">
        <f t="shared" si="48"/>
        <v>709.92905346292264</v>
      </c>
      <c r="M168" s="15">
        <f t="shared" si="49"/>
        <v>4105.0861901570252</v>
      </c>
      <c r="N168" s="15"/>
      <c r="O168" s="15">
        <f t="shared" si="50"/>
        <v>663.43164352323697</v>
      </c>
      <c r="P168" s="15">
        <f t="shared" si="51"/>
        <v>12225.361453972544</v>
      </c>
      <c r="Q168" s="3"/>
    </row>
    <row r="169" spans="1:43" x14ac:dyDescent="0.3">
      <c r="A169" s="86">
        <v>3.7499999999999999E-2</v>
      </c>
      <c r="B169" s="86">
        <v>0.125</v>
      </c>
      <c r="C169" s="87">
        <v>665</v>
      </c>
      <c r="D169" s="15"/>
      <c r="E169" s="15">
        <f t="shared" si="43"/>
        <v>711.62227343248082</v>
      </c>
      <c r="F169" s="15">
        <f t="shared" si="44"/>
        <v>2173.6363800130075</v>
      </c>
      <c r="G169" s="11">
        <f t="shared" si="45"/>
        <v>532.58620689655174</v>
      </c>
      <c r="H169" s="15"/>
      <c r="I169" s="15">
        <f t="shared" si="46"/>
        <v>710.09125225498792</v>
      </c>
      <c r="J169" s="15">
        <f t="shared" si="47"/>
        <v>2033.2210299229532</v>
      </c>
      <c r="K169" s="15"/>
      <c r="L169" s="15">
        <f t="shared" si="48"/>
        <v>709.92905346292264</v>
      </c>
      <c r="M169" s="15">
        <f t="shared" si="49"/>
        <v>2018.6198450741608</v>
      </c>
      <c r="N169" s="15"/>
      <c r="O169" s="15">
        <f t="shared" si="50"/>
        <v>663.43164352323697</v>
      </c>
      <c r="P169" s="15">
        <f t="shared" si="51"/>
        <v>2.4597420382045407</v>
      </c>
      <c r="Q169" s="3"/>
    </row>
    <row r="170" spans="1:43" x14ac:dyDescent="0.3">
      <c r="A170" s="86">
        <v>7.4999999999999997E-2</v>
      </c>
      <c r="B170" s="86">
        <v>0.25</v>
      </c>
      <c r="C170" s="87">
        <v>483</v>
      </c>
      <c r="D170" s="15"/>
      <c r="E170" s="15">
        <f t="shared" si="43"/>
        <v>495.56752527287063</v>
      </c>
      <c r="F170" s="15">
        <f t="shared" si="44"/>
        <v>157.94269148424189</v>
      </c>
      <c r="G170" s="11">
        <f t="shared" si="45"/>
        <v>532.58620689655174</v>
      </c>
      <c r="H170" s="15"/>
      <c r="I170" s="15">
        <f t="shared" si="46"/>
        <v>445.42434339542979</v>
      </c>
      <c r="J170" s="15">
        <f t="shared" si="47"/>
        <v>1411.9299692645811</v>
      </c>
      <c r="K170" s="15"/>
      <c r="L170" s="15">
        <f t="shared" si="48"/>
        <v>442.81321671007959</v>
      </c>
      <c r="M170" s="15">
        <f t="shared" si="49"/>
        <v>1614.9775511910266</v>
      </c>
      <c r="N170" s="15"/>
      <c r="O170" s="15">
        <f t="shared" si="50"/>
        <v>596.85390721439876</v>
      </c>
      <c r="P170" s="15">
        <f t="shared" si="51"/>
        <v>12962.712187984922</v>
      </c>
      <c r="Q170" s="3"/>
    </row>
    <row r="171" spans="1:43" x14ac:dyDescent="0.3">
      <c r="A171" s="86">
        <v>7.4999999999999997E-2</v>
      </c>
      <c r="B171" s="86">
        <v>0.25</v>
      </c>
      <c r="C171" s="87">
        <v>434</v>
      </c>
      <c r="D171" s="15"/>
      <c r="E171" s="15">
        <f t="shared" si="43"/>
        <v>495.56752527287063</v>
      </c>
      <c r="F171" s="15">
        <f t="shared" si="44"/>
        <v>3790.5601682255633</v>
      </c>
      <c r="G171" s="11">
        <f t="shared" si="45"/>
        <v>532.58620689655174</v>
      </c>
      <c r="H171" s="15"/>
      <c r="I171" s="15">
        <f t="shared" si="46"/>
        <v>445.42434339542979</v>
      </c>
      <c r="J171" s="15">
        <f t="shared" si="47"/>
        <v>130.51562201670021</v>
      </c>
      <c r="K171" s="15"/>
      <c r="L171" s="15">
        <f t="shared" si="48"/>
        <v>442.81321671007959</v>
      </c>
      <c r="M171" s="15">
        <f t="shared" si="49"/>
        <v>77.67278877882606</v>
      </c>
      <c r="N171" s="15"/>
      <c r="O171" s="15">
        <f t="shared" si="50"/>
        <v>596.85390721439876</v>
      </c>
      <c r="P171" s="15">
        <f t="shared" si="51"/>
        <v>26521.395094996002</v>
      </c>
      <c r="Q171" s="3"/>
    </row>
    <row r="172" spans="1:43" x14ac:dyDescent="0.3">
      <c r="A172" s="86">
        <v>7.4999999999999997E-2</v>
      </c>
      <c r="B172" s="86">
        <v>0.25</v>
      </c>
      <c r="C172" s="87">
        <v>337</v>
      </c>
      <c r="D172" s="15"/>
      <c r="E172" s="15">
        <f t="shared" si="43"/>
        <v>495.56752527287063</v>
      </c>
      <c r="F172" s="15">
        <f t="shared" si="44"/>
        <v>25143.660071162463</v>
      </c>
      <c r="G172" s="11">
        <f t="shared" si="45"/>
        <v>532.58620689655174</v>
      </c>
      <c r="H172" s="15"/>
      <c r="I172" s="15">
        <f t="shared" si="46"/>
        <v>445.42434339542979</v>
      </c>
      <c r="J172" s="15">
        <f t="shared" si="47"/>
        <v>11755.83824073008</v>
      </c>
      <c r="K172" s="15"/>
      <c r="L172" s="15">
        <f t="shared" si="48"/>
        <v>442.81321671007959</v>
      </c>
      <c r="M172" s="15">
        <f t="shared" si="49"/>
        <v>11196.436830534265</v>
      </c>
      <c r="N172" s="15"/>
      <c r="O172" s="15">
        <f t="shared" si="50"/>
        <v>596.85390721439876</v>
      </c>
      <c r="P172" s="15">
        <f t="shared" si="51"/>
        <v>67524.053094589355</v>
      </c>
      <c r="Q172" s="3"/>
    </row>
    <row r="173" spans="1:43" x14ac:dyDescent="0.3">
      <c r="A173" s="86">
        <v>7.4999999999999997E-2</v>
      </c>
      <c r="B173" s="86">
        <v>0.25</v>
      </c>
      <c r="C173" s="87">
        <v>360</v>
      </c>
      <c r="D173" s="15"/>
      <c r="E173" s="15">
        <f t="shared" si="43"/>
        <v>495.56752527287063</v>
      </c>
      <c r="F173" s="15">
        <f t="shared" si="44"/>
        <v>18378.553908610415</v>
      </c>
      <c r="G173" s="11">
        <f t="shared" si="45"/>
        <v>532.58620689655174</v>
      </c>
      <c r="H173" s="15"/>
      <c r="I173" s="15">
        <f t="shared" si="46"/>
        <v>445.42434339542979</v>
      </c>
      <c r="J173" s="15">
        <f t="shared" si="47"/>
        <v>7297.3184445403085</v>
      </c>
      <c r="K173" s="15"/>
      <c r="L173" s="15">
        <f t="shared" si="48"/>
        <v>442.81321671007959</v>
      </c>
      <c r="M173" s="15">
        <f t="shared" si="49"/>
        <v>6858.0288618706045</v>
      </c>
      <c r="N173" s="15"/>
      <c r="O173" s="15">
        <f t="shared" si="50"/>
        <v>596.85390721439876</v>
      </c>
      <c r="P173" s="15">
        <f t="shared" si="51"/>
        <v>56099.773362727014</v>
      </c>
      <c r="Q173" s="3"/>
    </row>
    <row r="174" spans="1:43" x14ac:dyDescent="0.3">
      <c r="A174" s="86">
        <v>7.4999999999999997E-2</v>
      </c>
      <c r="B174" s="86">
        <v>0.25</v>
      </c>
      <c r="C174" s="87">
        <v>357</v>
      </c>
      <c r="D174" s="15"/>
      <c r="E174" s="15">
        <f t="shared" si="43"/>
        <v>495.56752527287063</v>
      </c>
      <c r="F174" s="15">
        <f t="shared" si="44"/>
        <v>19200.959060247638</v>
      </c>
      <c r="G174" s="11">
        <f t="shared" si="45"/>
        <v>532.58620689655174</v>
      </c>
      <c r="H174" s="15"/>
      <c r="I174" s="15">
        <f t="shared" si="46"/>
        <v>445.42434339542979</v>
      </c>
      <c r="J174" s="15">
        <f t="shared" si="47"/>
        <v>7818.8645049128872</v>
      </c>
      <c r="K174" s="15"/>
      <c r="L174" s="15">
        <f t="shared" si="48"/>
        <v>442.81321671007959</v>
      </c>
      <c r="M174" s="15">
        <f t="shared" si="49"/>
        <v>7363.9081621310825</v>
      </c>
      <c r="N174" s="15"/>
      <c r="O174" s="15">
        <f t="shared" si="50"/>
        <v>596.85390721439876</v>
      </c>
      <c r="P174" s="15">
        <f t="shared" si="51"/>
        <v>57529.896806013407</v>
      </c>
      <c r="Q174" s="3"/>
    </row>
    <row r="175" spans="1:43" x14ac:dyDescent="0.3">
      <c r="A175" s="86">
        <v>0.15</v>
      </c>
      <c r="B175" s="86">
        <v>0.5</v>
      </c>
      <c r="C175" s="87">
        <v>4</v>
      </c>
      <c r="D175" s="15"/>
      <c r="E175" s="15">
        <f t="shared" si="43"/>
        <v>17.88573082607407</v>
      </c>
      <c r="F175" s="15">
        <f t="shared" si="44"/>
        <v>192.81352057418368</v>
      </c>
      <c r="G175" s="11">
        <f t="shared" si="45"/>
        <v>532.58620689655174</v>
      </c>
      <c r="H175" s="15"/>
      <c r="I175" s="15">
        <f t="shared" si="46"/>
        <v>5.4093631327403102</v>
      </c>
      <c r="J175" s="15">
        <f t="shared" si="47"/>
        <v>1.9863044399275813</v>
      </c>
      <c r="K175" s="15"/>
      <c r="L175" s="15">
        <f t="shared" si="48"/>
        <v>6.9924797465167563</v>
      </c>
      <c r="M175" s="15">
        <f t="shared" si="49"/>
        <v>8.9549350333129905</v>
      </c>
      <c r="N175" s="15"/>
      <c r="O175" s="15">
        <f t="shared" si="50"/>
        <v>2.5306386691985636E-2</v>
      </c>
      <c r="P175" s="15">
        <f t="shared" si="51"/>
        <v>15.79818931967152</v>
      </c>
      <c r="Q175" s="3"/>
    </row>
    <row r="176" spans="1:43" x14ac:dyDescent="0.3">
      <c r="A176" s="86">
        <v>0.15</v>
      </c>
      <c r="B176" s="86">
        <v>0.5</v>
      </c>
      <c r="C176" s="87">
        <v>85</v>
      </c>
      <c r="D176" s="15"/>
      <c r="E176" s="15">
        <f t="shared" si="43"/>
        <v>17.88573082607407</v>
      </c>
      <c r="F176" s="15">
        <f t="shared" si="44"/>
        <v>4504.3251267501846</v>
      </c>
      <c r="G176" s="11">
        <f t="shared" si="45"/>
        <v>532.58620689655174</v>
      </c>
      <c r="H176" s="15"/>
      <c r="I176" s="15">
        <f t="shared" si="46"/>
        <v>5.4093631327403102</v>
      </c>
      <c r="J176" s="15">
        <f t="shared" si="47"/>
        <v>6334.6694769359974</v>
      </c>
      <c r="K176" s="15"/>
      <c r="L176" s="15">
        <f t="shared" si="48"/>
        <v>6.9924797465167563</v>
      </c>
      <c r="M176" s="15">
        <f t="shared" si="49"/>
        <v>6085.1732160975998</v>
      </c>
      <c r="N176" s="15"/>
      <c r="O176" s="15">
        <f t="shared" si="50"/>
        <v>2.5306386691985636E-2</v>
      </c>
      <c r="P176" s="15">
        <f t="shared" si="51"/>
        <v>7220.6985546755704</v>
      </c>
      <c r="Q176" s="3"/>
    </row>
    <row r="177" spans="1:17" x14ac:dyDescent="0.3">
      <c r="A177" s="86">
        <v>0.15</v>
      </c>
      <c r="B177" s="86">
        <v>0.5</v>
      </c>
      <c r="C177" s="87">
        <v>3</v>
      </c>
      <c r="D177" s="15"/>
      <c r="E177" s="15">
        <f t="shared" si="43"/>
        <v>17.88573082607407</v>
      </c>
      <c r="F177" s="15">
        <f t="shared" si="44"/>
        <v>221.58498222633182</v>
      </c>
      <c r="G177" s="11">
        <f t="shared" si="45"/>
        <v>532.58620689655174</v>
      </c>
      <c r="H177" s="15"/>
      <c r="I177" s="15">
        <f t="shared" si="46"/>
        <v>5.4093631327403102</v>
      </c>
      <c r="J177" s="15">
        <f t="shared" si="47"/>
        <v>5.8050307054082015</v>
      </c>
      <c r="K177" s="15"/>
      <c r="L177" s="15">
        <f t="shared" si="48"/>
        <v>6.9924797465167563</v>
      </c>
      <c r="M177" s="15">
        <f t="shared" si="49"/>
        <v>15.939894526346503</v>
      </c>
      <c r="N177" s="15"/>
      <c r="O177" s="15">
        <f t="shared" si="50"/>
        <v>2.5306386691985636E-2</v>
      </c>
      <c r="P177" s="15">
        <f t="shared" si="51"/>
        <v>8.8488020930554914</v>
      </c>
      <c r="Q177" s="3"/>
    </row>
    <row r="178" spans="1:17" x14ac:dyDescent="0.3">
      <c r="A178" s="86">
        <v>0.15</v>
      </c>
      <c r="B178" s="86">
        <v>0.5</v>
      </c>
      <c r="C178" s="87">
        <v>22</v>
      </c>
      <c r="D178" s="15"/>
      <c r="E178" s="15">
        <f t="shared" si="43"/>
        <v>17.88573082607407</v>
      </c>
      <c r="F178" s="15">
        <f t="shared" si="44"/>
        <v>16.927210835517155</v>
      </c>
      <c r="G178" s="11">
        <f t="shared" si="45"/>
        <v>532.58620689655174</v>
      </c>
      <c r="H178" s="15"/>
      <c r="I178" s="15">
        <f t="shared" si="46"/>
        <v>5.4093631327403102</v>
      </c>
      <c r="J178" s="15">
        <f t="shared" si="47"/>
        <v>275.24923166127644</v>
      </c>
      <c r="K178" s="15"/>
      <c r="L178" s="15">
        <f t="shared" si="48"/>
        <v>6.9924797465167563</v>
      </c>
      <c r="M178" s="15">
        <f t="shared" si="49"/>
        <v>225.22566415870975</v>
      </c>
      <c r="N178" s="15"/>
      <c r="O178" s="15">
        <f t="shared" si="50"/>
        <v>2.5306386691985636E-2</v>
      </c>
      <c r="P178" s="15">
        <f t="shared" si="51"/>
        <v>482.88715939875993</v>
      </c>
      <c r="Q178" s="3"/>
    </row>
    <row r="179" spans="1:17" x14ac:dyDescent="0.3">
      <c r="A179" s="86">
        <v>0.15</v>
      </c>
      <c r="B179" s="86">
        <v>0.5</v>
      </c>
      <c r="C179" s="87">
        <v>55</v>
      </c>
      <c r="D179" s="15"/>
      <c r="E179" s="15">
        <f t="shared" si="43"/>
        <v>17.88573082607407</v>
      </c>
      <c r="F179" s="15">
        <f t="shared" si="44"/>
        <v>1377.4689763146289</v>
      </c>
      <c r="G179" s="11">
        <f t="shared" si="45"/>
        <v>532.58620689655174</v>
      </c>
      <c r="H179" s="15"/>
      <c r="I179" s="15">
        <f t="shared" si="46"/>
        <v>5.4093631327403102</v>
      </c>
      <c r="J179" s="15">
        <f t="shared" si="47"/>
        <v>2459.2312649004161</v>
      </c>
      <c r="K179" s="15"/>
      <c r="L179" s="15">
        <f t="shared" si="48"/>
        <v>6.9924797465167563</v>
      </c>
      <c r="M179" s="15">
        <f t="shared" si="49"/>
        <v>2304.7220008886038</v>
      </c>
      <c r="N179" s="15"/>
      <c r="O179" s="15">
        <f t="shared" si="50"/>
        <v>2.5306386691985636E-2</v>
      </c>
      <c r="P179" s="15">
        <f t="shared" si="51"/>
        <v>3022.2169378770886</v>
      </c>
      <c r="Q179" s="3"/>
    </row>
    <row r="180" spans="1:17" x14ac:dyDescent="0.3">
      <c r="A180" s="86">
        <v>0.3</v>
      </c>
      <c r="B180" s="86">
        <v>1</v>
      </c>
      <c r="C180" s="87">
        <v>0</v>
      </c>
      <c r="D180" s="15"/>
      <c r="E180" s="15">
        <f t="shared" si="43"/>
        <v>0.24024572561931268</v>
      </c>
      <c r="F180" s="15">
        <f t="shared" si="44"/>
        <v>5.7718008678350072E-2</v>
      </c>
      <c r="G180" s="11">
        <f t="shared" si="45"/>
        <v>532.58620689655174</v>
      </c>
      <c r="H180" s="15"/>
      <c r="I180" s="15">
        <f t="shared" si="46"/>
        <v>2.8382911020661823E-2</v>
      </c>
      <c r="J180" s="15">
        <f t="shared" si="47"/>
        <v>8.0558963800680635E-4</v>
      </c>
      <c r="K180" s="15"/>
      <c r="L180" s="15">
        <f t="shared" si="48"/>
        <v>4.8315241080605802E-2</v>
      </c>
      <c r="M180" s="15">
        <f t="shared" si="49"/>
        <v>2.3343625206770583E-3</v>
      </c>
      <c r="N180" s="15"/>
      <c r="O180" s="15">
        <f t="shared" si="50"/>
        <v>9.3175246794627751E-12</v>
      </c>
      <c r="P180" s="15">
        <f t="shared" si="51"/>
        <v>8.6816266152397886E-23</v>
      </c>
      <c r="Q180" s="3"/>
    </row>
    <row r="181" spans="1:17" x14ac:dyDescent="0.3">
      <c r="A181" s="86">
        <v>0.3</v>
      </c>
      <c r="B181" s="86">
        <v>1</v>
      </c>
      <c r="C181" s="87">
        <v>0</v>
      </c>
      <c r="D181" s="15"/>
      <c r="E181" s="15">
        <f t="shared" si="43"/>
        <v>0.24024572561931268</v>
      </c>
      <c r="F181" s="15">
        <f t="shared" si="44"/>
        <v>5.7718008678350072E-2</v>
      </c>
      <c r="G181" s="11">
        <f t="shared" si="45"/>
        <v>532.58620689655174</v>
      </c>
      <c r="H181" s="15"/>
      <c r="I181" s="15">
        <f t="shared" si="46"/>
        <v>2.8382911020661823E-2</v>
      </c>
      <c r="J181" s="15">
        <f t="shared" si="47"/>
        <v>8.0558963800680635E-4</v>
      </c>
      <c r="K181" s="15"/>
      <c r="L181" s="15">
        <f t="shared" si="48"/>
        <v>4.8315241080605802E-2</v>
      </c>
      <c r="M181" s="15">
        <f t="shared" si="49"/>
        <v>2.3343625206770583E-3</v>
      </c>
      <c r="N181" s="15"/>
      <c r="O181" s="15">
        <f t="shared" si="50"/>
        <v>9.3175246794627751E-12</v>
      </c>
      <c r="P181" s="15">
        <f t="shared" si="51"/>
        <v>8.6816266152397886E-23</v>
      </c>
      <c r="Q181" s="3"/>
    </row>
    <row r="182" spans="1:17" x14ac:dyDescent="0.3">
      <c r="A182" s="86">
        <v>0.3</v>
      </c>
      <c r="B182" s="86">
        <v>1</v>
      </c>
      <c r="C182" s="87">
        <v>65</v>
      </c>
      <c r="D182" s="15"/>
      <c r="E182" s="15">
        <f t="shared" si="43"/>
        <v>0.24024572561931268</v>
      </c>
      <c r="F182" s="15">
        <f t="shared" si="44"/>
        <v>4193.825773678167</v>
      </c>
      <c r="G182" s="11">
        <f t="shared" si="45"/>
        <v>532.58620689655174</v>
      </c>
      <c r="H182" s="15"/>
      <c r="I182" s="15">
        <f t="shared" si="46"/>
        <v>2.8382911020661823E-2</v>
      </c>
      <c r="J182" s="15">
        <f t="shared" si="47"/>
        <v>4221.3110271569531</v>
      </c>
      <c r="K182" s="15"/>
      <c r="L182" s="15">
        <f t="shared" si="48"/>
        <v>4.8315241080605802E-2</v>
      </c>
      <c r="M182" s="15">
        <f t="shared" si="49"/>
        <v>4218.7213530220424</v>
      </c>
      <c r="N182" s="15"/>
      <c r="O182" s="15">
        <f t="shared" si="50"/>
        <v>9.3175246794627751E-12</v>
      </c>
      <c r="P182" s="15">
        <f t="shared" si="51"/>
        <v>4224.9999999987886</v>
      </c>
      <c r="Q182" s="3"/>
    </row>
    <row r="183" spans="1:17" x14ac:dyDescent="0.3">
      <c r="A183" s="86">
        <v>0.3</v>
      </c>
      <c r="B183" s="86">
        <v>1</v>
      </c>
      <c r="C183" s="87">
        <v>0</v>
      </c>
      <c r="D183" s="15"/>
      <c r="E183" s="15">
        <f t="shared" si="43"/>
        <v>0.24024572561931268</v>
      </c>
      <c r="F183" s="15">
        <f t="shared" si="44"/>
        <v>5.7718008678350072E-2</v>
      </c>
      <c r="G183" s="11">
        <f t="shared" si="45"/>
        <v>532.58620689655174</v>
      </c>
      <c r="H183" s="15"/>
      <c r="I183" s="15">
        <f t="shared" si="46"/>
        <v>2.8382911020661823E-2</v>
      </c>
      <c r="J183" s="15">
        <f t="shared" si="47"/>
        <v>8.0558963800680635E-4</v>
      </c>
      <c r="K183" s="15"/>
      <c r="L183" s="15">
        <f t="shared" si="48"/>
        <v>4.8315241080605802E-2</v>
      </c>
      <c r="M183" s="15">
        <f t="shared" si="49"/>
        <v>2.3343625206770583E-3</v>
      </c>
      <c r="N183" s="15"/>
      <c r="O183" s="15">
        <f t="shared" si="50"/>
        <v>9.3175246794627751E-12</v>
      </c>
      <c r="P183" s="15">
        <f t="shared" si="51"/>
        <v>8.6816266152397886E-23</v>
      </c>
      <c r="Q183" s="3"/>
    </row>
    <row r="184" spans="1:17" x14ac:dyDescent="0.3">
      <c r="A184" s="86">
        <v>0.3</v>
      </c>
      <c r="B184" s="86">
        <v>1</v>
      </c>
      <c r="C184" s="87">
        <v>0</v>
      </c>
      <c r="D184" s="15"/>
      <c r="E184" s="15">
        <f t="shared" si="43"/>
        <v>0.24024572561931268</v>
      </c>
      <c r="F184" s="15">
        <f t="shared" si="44"/>
        <v>5.7718008678350072E-2</v>
      </c>
      <c r="G184" s="11">
        <f t="shared" si="45"/>
        <v>532.58620689655174</v>
      </c>
      <c r="H184" s="15"/>
      <c r="I184" s="15">
        <f t="shared" si="46"/>
        <v>2.8382911020661823E-2</v>
      </c>
      <c r="J184" s="15">
        <f t="shared" si="47"/>
        <v>8.0558963800680635E-4</v>
      </c>
      <c r="K184" s="15"/>
      <c r="L184" s="15">
        <f t="shared" si="48"/>
        <v>4.8315241080605802E-2</v>
      </c>
      <c r="M184" s="15">
        <f t="shared" si="49"/>
        <v>2.3343625206770583E-3</v>
      </c>
      <c r="N184" s="15"/>
      <c r="O184" s="15">
        <f t="shared" si="50"/>
        <v>9.3175246794627751E-12</v>
      </c>
      <c r="P184" s="15">
        <f t="shared" si="51"/>
        <v>8.6816266152397886E-23</v>
      </c>
      <c r="Q184" s="3"/>
    </row>
    <row r="185" spans="1:17" x14ac:dyDescent="0.3">
      <c r="A185" s="86">
        <v>1.2500000000000001E-2</v>
      </c>
      <c r="B185" s="86">
        <v>0.125</v>
      </c>
      <c r="C185" s="87">
        <v>749</v>
      </c>
      <c r="D185" s="15"/>
      <c r="E185" s="15">
        <f t="shared" si="43"/>
        <v>731.28281818973119</v>
      </c>
      <c r="F185" s="15">
        <f t="shared" si="44"/>
        <v>313.89853129812008</v>
      </c>
      <c r="G185" s="11">
        <f t="shared" si="45"/>
        <v>532.58620689655174</v>
      </c>
      <c r="H185" s="15"/>
      <c r="I185" s="15">
        <f t="shared" si="46"/>
        <v>731.03442729949734</v>
      </c>
      <c r="J185" s="15">
        <f t="shared" si="47"/>
        <v>322.76180245704649</v>
      </c>
      <c r="K185" s="15"/>
      <c r="L185" s="15">
        <f t="shared" si="48"/>
        <v>730.16036749795785</v>
      </c>
      <c r="M185" s="15">
        <f t="shared" si="49"/>
        <v>354.93175281200297</v>
      </c>
      <c r="N185" s="15"/>
      <c r="O185" s="15">
        <f t="shared" si="50"/>
        <v>723.07088614276836</v>
      </c>
      <c r="P185" s="15">
        <f t="shared" si="51"/>
        <v>672.31894542128191</v>
      </c>
      <c r="Q185" s="3"/>
    </row>
    <row r="186" spans="1:17" x14ac:dyDescent="0.3">
      <c r="A186" s="86">
        <v>1.2500000000000001E-2</v>
      </c>
      <c r="B186" s="86">
        <v>0.125</v>
      </c>
      <c r="C186" s="87">
        <v>703</v>
      </c>
      <c r="D186" s="15"/>
      <c r="E186" s="15">
        <f t="shared" si="43"/>
        <v>731.28281818973119</v>
      </c>
      <c r="F186" s="15">
        <f t="shared" si="44"/>
        <v>799.91780475338931</v>
      </c>
      <c r="G186" s="11">
        <f t="shared" si="45"/>
        <v>532.58620689655174</v>
      </c>
      <c r="H186" s="15"/>
      <c r="I186" s="15">
        <f t="shared" si="46"/>
        <v>731.03442729949734</v>
      </c>
      <c r="J186" s="15">
        <f t="shared" si="47"/>
        <v>785.92911401080164</v>
      </c>
      <c r="K186" s="15"/>
      <c r="L186" s="15">
        <f t="shared" si="48"/>
        <v>730.16036749795785</v>
      </c>
      <c r="M186" s="15">
        <f t="shared" si="49"/>
        <v>737.68556262412517</v>
      </c>
      <c r="N186" s="15"/>
      <c r="O186" s="15">
        <f t="shared" si="50"/>
        <v>723.07088614276836</v>
      </c>
      <c r="P186" s="15">
        <f t="shared" si="51"/>
        <v>402.84047055597091</v>
      </c>
      <c r="Q186" s="3"/>
    </row>
    <row r="187" spans="1:17" x14ac:dyDescent="0.3">
      <c r="A187" s="86">
        <v>1.2500000000000001E-2</v>
      </c>
      <c r="B187" s="86">
        <v>0.125</v>
      </c>
      <c r="C187" s="87">
        <v>699</v>
      </c>
      <c r="D187" s="15"/>
      <c r="E187" s="15">
        <f t="shared" si="43"/>
        <v>731.28281818973119</v>
      </c>
      <c r="F187" s="15">
        <f t="shared" si="44"/>
        <v>1042.1803502712389</v>
      </c>
      <c r="G187" s="11">
        <f t="shared" si="45"/>
        <v>532.58620689655174</v>
      </c>
      <c r="H187" s="15"/>
      <c r="I187" s="15">
        <f t="shared" si="46"/>
        <v>731.03442729949734</v>
      </c>
      <c r="J187" s="15">
        <f t="shared" si="47"/>
        <v>1026.2045324067803</v>
      </c>
      <c r="K187" s="15"/>
      <c r="L187" s="15">
        <f t="shared" si="48"/>
        <v>730.16036749795785</v>
      </c>
      <c r="M187" s="15">
        <f t="shared" si="49"/>
        <v>970.96850260778797</v>
      </c>
      <c r="N187" s="15"/>
      <c r="O187" s="15">
        <f t="shared" si="50"/>
        <v>723.07088614276836</v>
      </c>
      <c r="P187" s="15">
        <f t="shared" si="51"/>
        <v>579.40755969811778</v>
      </c>
      <c r="Q187" s="3"/>
    </row>
    <row r="188" spans="1:17" x14ac:dyDescent="0.3">
      <c r="A188" s="86">
        <v>1.2500000000000001E-2</v>
      </c>
      <c r="B188" s="86">
        <v>0.125</v>
      </c>
      <c r="C188" s="87">
        <v>830</v>
      </c>
      <c r="D188" s="15"/>
      <c r="E188" s="15">
        <f t="shared" si="43"/>
        <v>731.28281818973119</v>
      </c>
      <c r="F188" s="15">
        <f t="shared" si="44"/>
        <v>9745.0819845616679</v>
      </c>
      <c r="G188" s="11">
        <f t="shared" si="45"/>
        <v>532.58620689655174</v>
      </c>
      <c r="H188" s="15"/>
      <c r="I188" s="15">
        <f t="shared" si="46"/>
        <v>731.03442729949734</v>
      </c>
      <c r="J188" s="15">
        <f t="shared" si="47"/>
        <v>9794.1845799384773</v>
      </c>
      <c r="K188" s="15"/>
      <c r="L188" s="15">
        <f t="shared" si="48"/>
        <v>730.16036749795785</v>
      </c>
      <c r="M188" s="15">
        <f t="shared" si="49"/>
        <v>9967.952218142831</v>
      </c>
      <c r="N188" s="15"/>
      <c r="O188" s="15">
        <f t="shared" si="50"/>
        <v>723.07088614276836</v>
      </c>
      <c r="P188" s="15">
        <f t="shared" si="51"/>
        <v>11433.835390292808</v>
      </c>
      <c r="Q188" s="2"/>
    </row>
    <row r="189" spans="1:17" x14ac:dyDescent="0.3">
      <c r="A189" s="86">
        <v>1.2500000000000001E-2</v>
      </c>
      <c r="B189" s="86">
        <v>0.125</v>
      </c>
      <c r="C189" s="87">
        <v>662</v>
      </c>
      <c r="D189" s="15"/>
      <c r="E189" s="15">
        <f t="shared" si="43"/>
        <v>731.28281818973119</v>
      </c>
      <c r="F189" s="15">
        <f t="shared" si="44"/>
        <v>4800.1088963113471</v>
      </c>
      <c r="G189" s="11">
        <f t="shared" si="45"/>
        <v>532.58620689655174</v>
      </c>
      <c r="H189" s="15"/>
      <c r="I189" s="15">
        <f t="shared" si="46"/>
        <v>731.03442729949734</v>
      </c>
      <c r="J189" s="15">
        <f t="shared" si="47"/>
        <v>4765.7521525695829</v>
      </c>
      <c r="K189" s="15"/>
      <c r="L189" s="15">
        <f t="shared" si="48"/>
        <v>730.16036749795785</v>
      </c>
      <c r="M189" s="15">
        <f t="shared" si="49"/>
        <v>4645.8356974566686</v>
      </c>
      <c r="N189" s="15"/>
      <c r="O189" s="15">
        <f t="shared" si="50"/>
        <v>723.07088614276836</v>
      </c>
      <c r="P189" s="15">
        <f t="shared" si="51"/>
        <v>3729.6531342629764</v>
      </c>
      <c r="Q189" s="1"/>
    </row>
    <row r="190" spans="1:17" x14ac:dyDescent="0.3">
      <c r="A190" s="86">
        <v>2.5000000000000001E-2</v>
      </c>
      <c r="B190" s="86">
        <v>0.25</v>
      </c>
      <c r="C190" s="87">
        <v>710</v>
      </c>
      <c r="D190" s="15"/>
      <c r="E190" s="15">
        <f t="shared" si="43"/>
        <v>705.35875585891745</v>
      </c>
      <c r="F190" s="15">
        <f t="shared" si="44"/>
        <v>21.541147177133119</v>
      </c>
      <c r="G190" s="11">
        <f t="shared" si="45"/>
        <v>532.58620689655174</v>
      </c>
      <c r="H190" s="15"/>
      <c r="I190" s="15">
        <f t="shared" si="46"/>
        <v>705.85182795516312</v>
      </c>
      <c r="J190" s="15">
        <f t="shared" si="47"/>
        <v>17.207331313566211</v>
      </c>
      <c r="K190" s="15"/>
      <c r="L190" s="15">
        <f t="shared" si="48"/>
        <v>703.69265950653403</v>
      </c>
      <c r="M190" s="15">
        <f t="shared" si="49"/>
        <v>39.782544100515572</v>
      </c>
      <c r="N190" s="15"/>
      <c r="O190" s="15">
        <f t="shared" si="50"/>
        <v>702.14795459262473</v>
      </c>
      <c r="P190" s="15">
        <f t="shared" si="51"/>
        <v>61.654617079483096</v>
      </c>
      <c r="Q190" s="4"/>
    </row>
    <row r="191" spans="1:17" x14ac:dyDescent="0.3">
      <c r="A191" s="86">
        <v>2.5000000000000001E-2</v>
      </c>
      <c r="B191" s="86">
        <v>0.25</v>
      </c>
      <c r="C191" s="87">
        <v>668</v>
      </c>
      <c r="D191" s="15"/>
      <c r="E191" s="15">
        <f t="shared" si="43"/>
        <v>705.35875585891745</v>
      </c>
      <c r="F191" s="15">
        <f t="shared" si="44"/>
        <v>1395.6766393261987</v>
      </c>
      <c r="G191" s="11">
        <f t="shared" si="45"/>
        <v>532.58620689655174</v>
      </c>
      <c r="H191" s="15"/>
      <c r="I191" s="15">
        <f t="shared" si="46"/>
        <v>705.85182795516312</v>
      </c>
      <c r="J191" s="15">
        <f t="shared" si="47"/>
        <v>1432.7608795472679</v>
      </c>
      <c r="K191" s="15"/>
      <c r="L191" s="15">
        <f t="shared" si="48"/>
        <v>703.69265950653403</v>
      </c>
      <c r="M191" s="15">
        <f t="shared" si="49"/>
        <v>1273.965942649374</v>
      </c>
      <c r="N191" s="15"/>
      <c r="O191" s="15">
        <f t="shared" si="50"/>
        <v>702.14795459262473</v>
      </c>
      <c r="P191" s="15">
        <f t="shared" si="51"/>
        <v>1166.0828028599603</v>
      </c>
      <c r="Q191" s="4"/>
    </row>
    <row r="192" spans="1:17" x14ac:dyDescent="0.3">
      <c r="A192" s="86">
        <v>2.5000000000000001E-2</v>
      </c>
      <c r="B192" s="86">
        <v>0.25</v>
      </c>
      <c r="C192" s="87">
        <v>593</v>
      </c>
      <c r="D192" s="15"/>
      <c r="E192" s="15">
        <f t="shared" si="43"/>
        <v>705.35875585891745</v>
      </c>
      <c r="F192" s="15">
        <f t="shared" si="44"/>
        <v>12624.490018163817</v>
      </c>
      <c r="G192" s="11">
        <f t="shared" si="45"/>
        <v>532.58620689655174</v>
      </c>
      <c r="H192" s="15"/>
      <c r="I192" s="15">
        <f t="shared" si="46"/>
        <v>705.85182795516312</v>
      </c>
      <c r="J192" s="15">
        <f t="shared" si="47"/>
        <v>12735.535072821736</v>
      </c>
      <c r="K192" s="15"/>
      <c r="L192" s="15">
        <f t="shared" si="48"/>
        <v>703.69265950653403</v>
      </c>
      <c r="M192" s="15">
        <f t="shared" si="49"/>
        <v>12252.864868629478</v>
      </c>
      <c r="N192" s="15"/>
      <c r="O192" s="15">
        <f t="shared" si="50"/>
        <v>702.14795459262473</v>
      </c>
      <c r="P192" s="15">
        <f t="shared" si="51"/>
        <v>11913.27599175367</v>
      </c>
      <c r="Q192" s="4"/>
    </row>
    <row r="193" spans="1:17" x14ac:dyDescent="0.3">
      <c r="A193" s="86">
        <v>2.5000000000000001E-2</v>
      </c>
      <c r="B193" s="86">
        <v>0.25</v>
      </c>
      <c r="C193" s="87">
        <v>732</v>
      </c>
      <c r="D193" s="15"/>
      <c r="E193" s="15">
        <f t="shared" si="43"/>
        <v>705.35875585891745</v>
      </c>
      <c r="F193" s="15">
        <f t="shared" si="44"/>
        <v>709.7558893847654</v>
      </c>
      <c r="G193" s="11">
        <f t="shared" si="45"/>
        <v>532.58620689655174</v>
      </c>
      <c r="H193" s="15"/>
      <c r="I193" s="15">
        <f t="shared" si="46"/>
        <v>705.85182795516312</v>
      </c>
      <c r="J193" s="15">
        <f t="shared" si="47"/>
        <v>683.72690128638908</v>
      </c>
      <c r="K193" s="15"/>
      <c r="L193" s="15">
        <f t="shared" si="48"/>
        <v>703.69265950653403</v>
      </c>
      <c r="M193" s="15">
        <f t="shared" si="49"/>
        <v>801.30552581301833</v>
      </c>
      <c r="N193" s="15"/>
      <c r="O193" s="15">
        <f t="shared" si="50"/>
        <v>702.14795459262473</v>
      </c>
      <c r="P193" s="15">
        <f t="shared" si="51"/>
        <v>891.144615003995</v>
      </c>
      <c r="Q193" s="4"/>
    </row>
    <row r="194" spans="1:17" x14ac:dyDescent="0.3">
      <c r="A194" s="86">
        <v>2.5000000000000001E-2</v>
      </c>
      <c r="B194" s="86">
        <v>0.25</v>
      </c>
      <c r="C194" s="87">
        <v>830</v>
      </c>
      <c r="D194" s="15"/>
      <c r="E194" s="15">
        <f t="shared" si="43"/>
        <v>705.35875585891745</v>
      </c>
      <c r="F194" s="15">
        <f t="shared" si="44"/>
        <v>15535.439741036946</v>
      </c>
      <c r="G194" s="11">
        <f t="shared" si="45"/>
        <v>532.58620689655174</v>
      </c>
      <c r="H194" s="15"/>
      <c r="I194" s="15">
        <f t="shared" si="46"/>
        <v>705.85182795516312</v>
      </c>
      <c r="J194" s="15">
        <f t="shared" si="47"/>
        <v>15412.768622074418</v>
      </c>
      <c r="K194" s="15"/>
      <c r="L194" s="15">
        <f t="shared" si="48"/>
        <v>703.69265950653403</v>
      </c>
      <c r="M194" s="15">
        <f t="shared" si="49"/>
        <v>15953.544262532349</v>
      </c>
      <c r="N194" s="15"/>
      <c r="O194" s="15">
        <f t="shared" si="50"/>
        <v>702.14795459262473</v>
      </c>
      <c r="P194" s="15">
        <f t="shared" si="51"/>
        <v>16346.145514849548</v>
      </c>
      <c r="Q194" s="4"/>
    </row>
    <row r="195" spans="1:17" x14ac:dyDescent="0.3">
      <c r="A195" s="86">
        <v>0.05</v>
      </c>
      <c r="B195" s="86">
        <v>0.5</v>
      </c>
      <c r="C195" s="87">
        <v>690</v>
      </c>
      <c r="D195" s="15"/>
      <c r="E195" s="15">
        <f t="shared" si="43"/>
        <v>644.3302042779917</v>
      </c>
      <c r="F195" s="15">
        <f t="shared" si="44"/>
        <v>2085.730241289968</v>
      </c>
      <c r="G195" s="11">
        <f t="shared" si="45"/>
        <v>532.58620689655174</v>
      </c>
      <c r="H195" s="15"/>
      <c r="I195" s="15">
        <f t="shared" si="46"/>
        <v>648.9559286605122</v>
      </c>
      <c r="J195" s="15">
        <f t="shared" si="47"/>
        <v>1684.6157921209638</v>
      </c>
      <c r="K195" s="15"/>
      <c r="L195" s="15">
        <f t="shared" si="48"/>
        <v>639.62902793484795</v>
      </c>
      <c r="M195" s="15">
        <f t="shared" si="49"/>
        <v>2537.2348267883276</v>
      </c>
      <c r="N195" s="15"/>
      <c r="O195" s="15">
        <f t="shared" si="50"/>
        <v>663.55334476022767</v>
      </c>
      <c r="P195" s="15">
        <f t="shared" si="51"/>
        <v>699.42557337137703</v>
      </c>
      <c r="Q195" s="4"/>
    </row>
    <row r="196" spans="1:17" x14ac:dyDescent="0.3">
      <c r="A196" s="86">
        <v>0.05</v>
      </c>
      <c r="B196" s="86">
        <v>0.5</v>
      </c>
      <c r="C196" s="87">
        <v>610</v>
      </c>
      <c r="D196" s="15"/>
      <c r="E196" s="15">
        <f t="shared" si="43"/>
        <v>644.3302042779917</v>
      </c>
      <c r="F196" s="15">
        <f t="shared" si="44"/>
        <v>1178.5629257686394</v>
      </c>
      <c r="G196" s="11">
        <f t="shared" si="45"/>
        <v>532.58620689655174</v>
      </c>
      <c r="H196" s="15"/>
      <c r="I196" s="15">
        <f t="shared" si="46"/>
        <v>648.9559286605122</v>
      </c>
      <c r="J196" s="15">
        <f t="shared" si="47"/>
        <v>1517.5643778029157</v>
      </c>
      <c r="K196" s="15"/>
      <c r="L196" s="15">
        <f t="shared" si="48"/>
        <v>639.62902793484795</v>
      </c>
      <c r="M196" s="15">
        <f t="shared" si="49"/>
        <v>877.87929636400042</v>
      </c>
      <c r="N196" s="15"/>
      <c r="O196" s="15">
        <f t="shared" si="50"/>
        <v>663.55334476022767</v>
      </c>
      <c r="P196" s="15">
        <f t="shared" si="51"/>
        <v>2867.9607350078049</v>
      </c>
      <c r="Q196" s="4"/>
    </row>
    <row r="197" spans="1:17" x14ac:dyDescent="0.3">
      <c r="A197" s="86">
        <v>0.05</v>
      </c>
      <c r="B197" s="86">
        <v>0.5</v>
      </c>
      <c r="C197" s="87">
        <v>699</v>
      </c>
      <c r="D197" s="15"/>
      <c r="E197" s="15">
        <f t="shared" si="43"/>
        <v>644.3302042779917</v>
      </c>
      <c r="F197" s="15">
        <f t="shared" si="44"/>
        <v>2988.7865642861175</v>
      </c>
      <c r="G197" s="11">
        <f t="shared" si="45"/>
        <v>532.58620689655174</v>
      </c>
      <c r="H197" s="15"/>
      <c r="I197" s="15">
        <f t="shared" si="46"/>
        <v>648.9559286605122</v>
      </c>
      <c r="J197" s="15">
        <f t="shared" si="47"/>
        <v>2504.4090762317442</v>
      </c>
      <c r="K197" s="15"/>
      <c r="L197" s="15">
        <f t="shared" si="48"/>
        <v>639.62902793484795</v>
      </c>
      <c r="M197" s="15">
        <f t="shared" si="49"/>
        <v>3524.9123239610644</v>
      </c>
      <c r="N197" s="15"/>
      <c r="O197" s="15">
        <f t="shared" si="50"/>
        <v>663.55334476022767</v>
      </c>
      <c r="P197" s="15">
        <f t="shared" si="51"/>
        <v>1256.465367687279</v>
      </c>
      <c r="Q197" s="4"/>
    </row>
    <row r="198" spans="1:17" x14ac:dyDescent="0.3">
      <c r="A198" s="86">
        <v>0.05</v>
      </c>
      <c r="B198" s="86">
        <v>0.5</v>
      </c>
      <c r="C198" s="87">
        <v>670</v>
      </c>
      <c r="D198" s="15"/>
      <c r="E198" s="15">
        <f t="shared" si="43"/>
        <v>644.3302042779917</v>
      </c>
      <c r="F198" s="15">
        <f t="shared" si="44"/>
        <v>658.9384124096357</v>
      </c>
      <c r="G198" s="11">
        <f t="shared" si="45"/>
        <v>532.58620689655174</v>
      </c>
      <c r="H198" s="15"/>
      <c r="I198" s="15">
        <f t="shared" si="46"/>
        <v>648.9559286605122</v>
      </c>
      <c r="J198" s="15">
        <f t="shared" si="47"/>
        <v>442.85293854145186</v>
      </c>
      <c r="K198" s="15"/>
      <c r="L198" s="15">
        <f t="shared" si="48"/>
        <v>639.62902793484795</v>
      </c>
      <c r="M198" s="15">
        <f t="shared" si="49"/>
        <v>922.3959441822459</v>
      </c>
      <c r="N198" s="15"/>
      <c r="O198" s="15">
        <f t="shared" si="50"/>
        <v>663.55334476022767</v>
      </c>
      <c r="P198" s="15">
        <f t="shared" si="51"/>
        <v>41.559363780483991</v>
      </c>
      <c r="Q198" s="4"/>
    </row>
    <row r="199" spans="1:17" x14ac:dyDescent="0.3">
      <c r="A199" s="86">
        <v>0.05</v>
      </c>
      <c r="B199" s="86">
        <v>0.5</v>
      </c>
      <c r="C199" s="87">
        <v>561</v>
      </c>
      <c r="D199" s="15"/>
      <c r="E199" s="15">
        <f t="shared" si="43"/>
        <v>644.3302042779917</v>
      </c>
      <c r="F199" s="15">
        <f t="shared" si="44"/>
        <v>6943.9229450118255</v>
      </c>
      <c r="G199" s="11">
        <f t="shared" si="45"/>
        <v>532.58620689655174</v>
      </c>
      <c r="H199" s="15"/>
      <c r="I199" s="15">
        <f t="shared" si="46"/>
        <v>648.9559286605122</v>
      </c>
      <c r="J199" s="15">
        <f t="shared" si="47"/>
        <v>7736.2453865331117</v>
      </c>
      <c r="K199" s="15"/>
      <c r="L199" s="15">
        <f t="shared" si="48"/>
        <v>639.62902793484795</v>
      </c>
      <c r="M199" s="15">
        <f t="shared" si="49"/>
        <v>6182.5240339790998</v>
      </c>
      <c r="N199" s="15"/>
      <c r="O199" s="15">
        <f t="shared" si="50"/>
        <v>663.55334476022767</v>
      </c>
      <c r="P199" s="15">
        <f t="shared" si="51"/>
        <v>10517.188521510117</v>
      </c>
      <c r="Q199" s="4"/>
    </row>
    <row r="200" spans="1:17" x14ac:dyDescent="0.3">
      <c r="A200" s="86">
        <v>0.1</v>
      </c>
      <c r="B200" s="86">
        <v>1</v>
      </c>
      <c r="C200" s="87">
        <v>183</v>
      </c>
      <c r="D200" s="15"/>
      <c r="E200" s="15">
        <f t="shared" ref="E200:E209" si="52">CA(A200,B200,$E$2,$E$3,$E$4,$E$5,$E$6)</f>
        <v>178.53622404821411</v>
      </c>
      <c r="F200" s="15">
        <f t="shared" ref="F200:F209" si="53">($C200-E200)^2</f>
        <v>19.925295747742037</v>
      </c>
      <c r="G200" s="11">
        <f t="shared" ref="G200:G209" si="54">$G$25</f>
        <v>532.58620689655174</v>
      </c>
      <c r="H200" s="15"/>
      <c r="I200" s="15">
        <f t="shared" ref="I200:I209" si="55">CA_SA(A200,B200,$I$2,$I$3,$I$4,$I$5,$I$6,$I$7)</f>
        <v>141.07053439059192</v>
      </c>
      <c r="J200" s="15">
        <f t="shared" ref="J200:J209" si="56">($C200-I200)^2</f>
        <v>1758.0800862905353</v>
      </c>
      <c r="K200" s="15"/>
      <c r="L200" s="15">
        <f t="shared" ref="L200:L209" si="57">CA_DR(A200,B200,$L$2,$L$3,$L$4,$L$5,$L$6,$L$7,$L$8)</f>
        <v>112.11921547202874</v>
      </c>
      <c r="M200" s="15">
        <f t="shared" ref="M200:M209" si="58">($C200-L200)^2</f>
        <v>5024.0856153006898</v>
      </c>
      <c r="N200" s="15"/>
      <c r="O200" s="15">
        <f t="shared" ref="O200:O209" si="59">CA_DL(A200,B200,$O$2,$O$3,$O$4,$O$5,$O$6,$O$7,$O$8)</f>
        <v>199.42405473892802</v>
      </c>
      <c r="P200" s="15">
        <f t="shared" ref="P200:P209" si="60">($C200-O200)^2</f>
        <v>269.74957406730397</v>
      </c>
      <c r="Q200" s="4"/>
    </row>
    <row r="201" spans="1:17" x14ac:dyDescent="0.3">
      <c r="A201" s="86">
        <v>0.1</v>
      </c>
      <c r="B201" s="86">
        <v>1</v>
      </c>
      <c r="C201" s="87">
        <v>100</v>
      </c>
      <c r="D201" s="15"/>
      <c r="E201" s="15">
        <f t="shared" si="52"/>
        <v>178.53622404821411</v>
      </c>
      <c r="F201" s="15">
        <f t="shared" si="53"/>
        <v>6167.9384877512839</v>
      </c>
      <c r="G201" s="11">
        <f t="shared" si="54"/>
        <v>532.58620689655174</v>
      </c>
      <c r="H201" s="15"/>
      <c r="I201" s="15">
        <f t="shared" si="55"/>
        <v>141.07053439059192</v>
      </c>
      <c r="J201" s="15">
        <f t="shared" si="56"/>
        <v>1686.7887951287933</v>
      </c>
      <c r="K201" s="15"/>
      <c r="L201" s="15">
        <f t="shared" si="57"/>
        <v>112.11921547202874</v>
      </c>
      <c r="M201" s="15">
        <f t="shared" si="58"/>
        <v>146.87538365746084</v>
      </c>
      <c r="N201" s="15"/>
      <c r="O201" s="15">
        <f t="shared" si="59"/>
        <v>199.42405473892802</v>
      </c>
      <c r="P201" s="15">
        <f t="shared" si="60"/>
        <v>9885.1426607293561</v>
      </c>
      <c r="Q201" s="4"/>
    </row>
    <row r="202" spans="1:17" x14ac:dyDescent="0.3">
      <c r="A202" s="86">
        <v>0.1</v>
      </c>
      <c r="B202" s="86">
        <v>1</v>
      </c>
      <c r="C202" s="87">
        <v>198</v>
      </c>
      <c r="D202" s="15"/>
      <c r="E202" s="15">
        <f t="shared" si="52"/>
        <v>178.53622404821411</v>
      </c>
      <c r="F202" s="15">
        <f t="shared" si="53"/>
        <v>378.83857430131877</v>
      </c>
      <c r="G202" s="11">
        <f t="shared" si="54"/>
        <v>532.58620689655174</v>
      </c>
      <c r="H202" s="15"/>
      <c r="I202" s="15">
        <f t="shared" si="55"/>
        <v>141.07053439059192</v>
      </c>
      <c r="J202" s="15">
        <f t="shared" si="56"/>
        <v>3240.9640545727775</v>
      </c>
      <c r="K202" s="15"/>
      <c r="L202" s="15">
        <f t="shared" si="57"/>
        <v>112.11921547202874</v>
      </c>
      <c r="M202" s="15">
        <f t="shared" si="58"/>
        <v>7375.5091511398277</v>
      </c>
      <c r="N202" s="15"/>
      <c r="O202" s="15">
        <f t="shared" si="59"/>
        <v>199.42405473892802</v>
      </c>
      <c r="P202" s="15">
        <f t="shared" si="60"/>
        <v>2.0279318994633537</v>
      </c>
      <c r="Q202" s="4"/>
    </row>
    <row r="203" spans="1:17" x14ac:dyDescent="0.3">
      <c r="A203" s="86">
        <v>0.1</v>
      </c>
      <c r="B203" s="86">
        <v>1</v>
      </c>
      <c r="C203" s="87">
        <v>208</v>
      </c>
      <c r="D203" s="15"/>
      <c r="E203" s="15">
        <f t="shared" si="52"/>
        <v>178.53622404821411</v>
      </c>
      <c r="F203" s="15">
        <f t="shared" si="53"/>
        <v>868.11409333703659</v>
      </c>
      <c r="G203" s="11">
        <f t="shared" si="54"/>
        <v>532.58620689655174</v>
      </c>
      <c r="H203" s="15"/>
      <c r="I203" s="15">
        <f t="shared" si="55"/>
        <v>141.07053439059192</v>
      </c>
      <c r="J203" s="15">
        <f t="shared" si="56"/>
        <v>4479.5533667609398</v>
      </c>
      <c r="K203" s="15"/>
      <c r="L203" s="15">
        <f t="shared" si="57"/>
        <v>112.11921547202874</v>
      </c>
      <c r="M203" s="15">
        <f t="shared" si="58"/>
        <v>9193.124841699253</v>
      </c>
      <c r="N203" s="15"/>
      <c r="O203" s="15">
        <f t="shared" si="59"/>
        <v>199.42405473892802</v>
      </c>
      <c r="P203" s="15">
        <f t="shared" si="60"/>
        <v>73.546837120902936</v>
      </c>
      <c r="Q203" s="4"/>
    </row>
    <row r="204" spans="1:17" x14ac:dyDescent="0.3">
      <c r="A204" s="86">
        <v>0.1</v>
      </c>
      <c r="B204" s="86">
        <v>1</v>
      </c>
      <c r="C204" s="87">
        <v>65</v>
      </c>
      <c r="D204" s="15"/>
      <c r="E204" s="15">
        <f t="shared" si="52"/>
        <v>178.53622404821411</v>
      </c>
      <c r="F204" s="15">
        <f t="shared" si="53"/>
        <v>12890.474171126272</v>
      </c>
      <c r="G204" s="11">
        <f t="shared" si="54"/>
        <v>532.58620689655174</v>
      </c>
      <c r="H204" s="15"/>
      <c r="I204" s="15">
        <f t="shared" si="55"/>
        <v>141.07053439059192</v>
      </c>
      <c r="J204" s="15">
        <f t="shared" si="56"/>
        <v>5786.7262024702277</v>
      </c>
      <c r="K204" s="15"/>
      <c r="L204" s="15">
        <f t="shared" si="57"/>
        <v>112.11921547202874</v>
      </c>
      <c r="M204" s="15">
        <f t="shared" si="58"/>
        <v>2220.2204666994726</v>
      </c>
      <c r="N204" s="15"/>
      <c r="O204" s="15">
        <f t="shared" si="59"/>
        <v>199.42405473892802</v>
      </c>
      <c r="P204" s="15">
        <f t="shared" si="60"/>
        <v>18069.826492454318</v>
      </c>
      <c r="Q204" s="4"/>
    </row>
    <row r="205" spans="1:17" x14ac:dyDescent="0.3">
      <c r="A205" s="86">
        <v>0.2</v>
      </c>
      <c r="B205" s="86">
        <v>2</v>
      </c>
      <c r="C205" s="87">
        <v>4</v>
      </c>
      <c r="D205" s="15"/>
      <c r="E205" s="15">
        <f t="shared" si="52"/>
        <v>3.0185360516475273</v>
      </c>
      <c r="F205" s="15">
        <f t="shared" si="53"/>
        <v>0.96327148191562528</v>
      </c>
      <c r="G205" s="11">
        <f t="shared" si="54"/>
        <v>532.58620689655174</v>
      </c>
      <c r="H205" s="15"/>
      <c r="I205" s="15">
        <f t="shared" si="55"/>
        <v>0.89315973488972222</v>
      </c>
      <c r="J205" s="15">
        <f t="shared" si="56"/>
        <v>9.6524564329105011</v>
      </c>
      <c r="K205" s="15"/>
      <c r="L205" s="15">
        <f t="shared" si="57"/>
        <v>0.89315073715873927</v>
      </c>
      <c r="M205" s="15">
        <f t="shared" si="58"/>
        <v>9.6525123420172854</v>
      </c>
      <c r="N205" s="15"/>
      <c r="O205" s="15">
        <f t="shared" si="59"/>
        <v>7.1673266765098266E-13</v>
      </c>
      <c r="P205" s="15">
        <f t="shared" si="60"/>
        <v>15.999999999994266</v>
      </c>
      <c r="Q205" s="4"/>
    </row>
    <row r="206" spans="1:17" x14ac:dyDescent="0.3">
      <c r="A206" s="86">
        <v>0.2</v>
      </c>
      <c r="B206" s="86">
        <v>2</v>
      </c>
      <c r="C206" s="87">
        <v>4</v>
      </c>
      <c r="D206" s="15"/>
      <c r="E206" s="15">
        <f t="shared" si="52"/>
        <v>3.0185360516475273</v>
      </c>
      <c r="F206" s="15">
        <f t="shared" si="53"/>
        <v>0.96327148191562528</v>
      </c>
      <c r="G206" s="11">
        <f t="shared" si="54"/>
        <v>532.58620689655174</v>
      </c>
      <c r="H206" s="15"/>
      <c r="I206" s="15">
        <f t="shared" si="55"/>
        <v>0.89315973488972222</v>
      </c>
      <c r="J206" s="15">
        <f t="shared" si="56"/>
        <v>9.6524564329105011</v>
      </c>
      <c r="K206" s="15"/>
      <c r="L206" s="15">
        <f t="shared" si="57"/>
        <v>0.89315073715873927</v>
      </c>
      <c r="M206" s="15">
        <f t="shared" si="58"/>
        <v>9.6525123420172854</v>
      </c>
      <c r="N206" s="15"/>
      <c r="O206" s="15">
        <f t="shared" si="59"/>
        <v>7.1673266765098266E-13</v>
      </c>
      <c r="P206" s="15">
        <f t="shared" si="60"/>
        <v>15.999999999994266</v>
      </c>
      <c r="Q206" s="4"/>
    </row>
    <row r="207" spans="1:17" x14ac:dyDescent="0.3">
      <c r="A207" s="86">
        <v>0.2</v>
      </c>
      <c r="B207" s="86">
        <v>2</v>
      </c>
      <c r="C207" s="87">
        <v>8</v>
      </c>
      <c r="D207" s="15"/>
      <c r="E207" s="15">
        <f t="shared" si="52"/>
        <v>3.0185360516475273</v>
      </c>
      <c r="F207" s="15">
        <f t="shared" si="53"/>
        <v>24.814983068735408</v>
      </c>
      <c r="G207" s="11">
        <f t="shared" si="54"/>
        <v>532.58620689655174</v>
      </c>
      <c r="H207" s="15"/>
      <c r="I207" s="15">
        <f t="shared" si="55"/>
        <v>0.89315973488972222</v>
      </c>
      <c r="J207" s="15">
        <f t="shared" si="56"/>
        <v>50.50717855379272</v>
      </c>
      <c r="K207" s="15"/>
      <c r="L207" s="15">
        <f t="shared" si="57"/>
        <v>0.89315073715873927</v>
      </c>
      <c r="M207" s="15">
        <f t="shared" si="58"/>
        <v>50.507306444747364</v>
      </c>
      <c r="N207" s="15"/>
      <c r="O207" s="15">
        <f t="shared" si="59"/>
        <v>7.1673266765098266E-13</v>
      </c>
      <c r="P207" s="15">
        <f t="shared" si="60"/>
        <v>63.999999999988532</v>
      </c>
      <c r="Q207" s="4"/>
    </row>
    <row r="208" spans="1:17" x14ac:dyDescent="0.3">
      <c r="A208" s="86">
        <v>0.2</v>
      </c>
      <c r="B208" s="86">
        <v>2</v>
      </c>
      <c r="C208" s="87">
        <v>3</v>
      </c>
      <c r="D208" s="15"/>
      <c r="E208" s="15">
        <f t="shared" si="52"/>
        <v>3.0185360516475273</v>
      </c>
      <c r="F208" s="15">
        <f t="shared" si="53"/>
        <v>3.4358521067979776E-4</v>
      </c>
      <c r="G208" s="11">
        <f t="shared" si="54"/>
        <v>532.58620689655174</v>
      </c>
      <c r="H208" s="15"/>
      <c r="I208" s="15">
        <f t="shared" si="55"/>
        <v>0.89315973488972222</v>
      </c>
      <c r="J208" s="15">
        <f t="shared" si="56"/>
        <v>4.4387759026899456</v>
      </c>
      <c r="K208" s="15"/>
      <c r="L208" s="15">
        <f t="shared" si="57"/>
        <v>0.89315073715873927</v>
      </c>
      <c r="M208" s="15">
        <f t="shared" si="58"/>
        <v>4.4388138163347639</v>
      </c>
      <c r="N208" s="15"/>
      <c r="O208" s="15">
        <f t="shared" si="59"/>
        <v>7.1673266765098266E-13</v>
      </c>
      <c r="P208" s="15">
        <f t="shared" si="60"/>
        <v>8.9999999999956994</v>
      </c>
      <c r="Q208" s="4"/>
    </row>
    <row r="209" spans="1:17" x14ac:dyDescent="0.3">
      <c r="A209" s="86">
        <v>0.2</v>
      </c>
      <c r="B209" s="86">
        <v>2</v>
      </c>
      <c r="C209" s="87">
        <v>5</v>
      </c>
      <c r="D209" s="15"/>
      <c r="E209" s="15">
        <f t="shared" si="52"/>
        <v>3.0185360516475273</v>
      </c>
      <c r="F209" s="15">
        <f t="shared" si="53"/>
        <v>3.9261993786205709</v>
      </c>
      <c r="G209" s="11">
        <f t="shared" si="54"/>
        <v>532.58620689655174</v>
      </c>
      <c r="H209" s="15"/>
      <c r="I209" s="15">
        <f t="shared" si="55"/>
        <v>0.89315973488972222</v>
      </c>
      <c r="J209" s="15">
        <f t="shared" si="56"/>
        <v>16.866136963131055</v>
      </c>
      <c r="K209" s="15"/>
      <c r="L209" s="15">
        <f t="shared" si="57"/>
        <v>0.89315073715873927</v>
      </c>
      <c r="M209" s="15">
        <f t="shared" si="58"/>
        <v>16.866210867699802</v>
      </c>
      <c r="N209" s="15"/>
      <c r="O209" s="15">
        <f t="shared" si="59"/>
        <v>7.1673266765098266E-13</v>
      </c>
      <c r="P209" s="15">
        <f t="shared" si="60"/>
        <v>24.999999999992831</v>
      </c>
      <c r="Q209" s="4"/>
    </row>
    <row r="210" spans="1:17" x14ac:dyDescent="0.3">
      <c r="A210" s="14"/>
      <c r="B210" s="14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4"/>
    </row>
    <row r="211" spans="1:17" x14ac:dyDescent="0.3">
      <c r="A211" s="14"/>
      <c r="B211" s="14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4"/>
    </row>
    <row r="212" spans="1:17" x14ac:dyDescent="0.3">
      <c r="A212" s="14"/>
      <c r="B212" s="14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4"/>
    </row>
    <row r="213" spans="1:17" x14ac:dyDescent="0.3">
      <c r="A213" s="14"/>
      <c r="B213" s="14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4"/>
    </row>
    <row r="214" spans="1:17" x14ac:dyDescent="0.3">
      <c r="A214" s="14"/>
      <c r="B214" s="14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4"/>
    </row>
    <row r="215" spans="1:17" x14ac:dyDescent="0.3">
      <c r="A215" s="14"/>
      <c r="B215" s="14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4"/>
    </row>
    <row r="216" spans="1:17" x14ac:dyDescent="0.3">
      <c r="A216" s="14"/>
      <c r="B216" s="14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4"/>
    </row>
    <row r="217" spans="1:17" x14ac:dyDescent="0.3">
      <c r="A217" s="14"/>
      <c r="B217" s="14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4"/>
    </row>
    <row r="218" spans="1:17" x14ac:dyDescent="0.3">
      <c r="A218" s="14"/>
      <c r="B218" s="14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4"/>
    </row>
    <row r="219" spans="1:17" x14ac:dyDescent="0.3">
      <c r="A219" s="14"/>
      <c r="B219" s="14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4"/>
    </row>
    <row r="220" spans="1:17" x14ac:dyDescent="0.3">
      <c r="A220" s="14"/>
      <c r="B220" s="14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4"/>
    </row>
    <row r="221" spans="1:17" x14ac:dyDescent="0.3">
      <c r="A221" s="14"/>
      <c r="B221" s="14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4"/>
    </row>
    <row r="222" spans="1:17" x14ac:dyDescent="0.3">
      <c r="A222" s="14"/>
      <c r="B222" s="14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4"/>
    </row>
    <row r="223" spans="1:17" x14ac:dyDescent="0.3">
      <c r="A223" s="14"/>
      <c r="B223" s="14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4"/>
    </row>
    <row r="224" spans="1:17" x14ac:dyDescent="0.3">
      <c r="A224" s="14"/>
      <c r="B224" s="14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4"/>
    </row>
    <row r="225" spans="3:17" x14ac:dyDescent="0.3">
      <c r="C225" s="3"/>
      <c r="D225" s="3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4"/>
    </row>
    <row r="226" spans="3:17" x14ac:dyDescent="0.3">
      <c r="D226" s="3"/>
      <c r="E226" s="1" t="s">
        <v>17</v>
      </c>
      <c r="F226" s="1" t="s">
        <v>16</v>
      </c>
      <c r="G226" s="1"/>
      <c r="H226" s="2"/>
      <c r="I226" s="1" t="s">
        <v>17</v>
      </c>
      <c r="J226" s="1" t="s">
        <v>16</v>
      </c>
      <c r="K226" s="2"/>
      <c r="L226" s="1" t="s">
        <v>17</v>
      </c>
      <c r="M226" s="1" t="s">
        <v>16</v>
      </c>
      <c r="N226" s="2"/>
      <c r="O226" s="1" t="s">
        <v>17</v>
      </c>
      <c r="P226" s="1" t="s">
        <v>16</v>
      </c>
      <c r="Q226" s="4"/>
    </row>
    <row r="227" spans="3:17" x14ac:dyDescent="0.3">
      <c r="C227" s="2"/>
      <c r="D227" s="3"/>
      <c r="E227">
        <f>(A135/$E$5)+(B135/$E$6)</f>
        <v>7.8071397264550993E-2</v>
      </c>
      <c r="F227" s="3">
        <f t="shared" ref="F227:F258" si="61">C135-E135</f>
        <v>94.990559077305306</v>
      </c>
      <c r="G227" s="3"/>
      <c r="H227" s="2"/>
      <c r="I227">
        <f>(A135/$I$5)+(B135/$I$6)</f>
        <v>8.433419174690511E-2</v>
      </c>
      <c r="J227" s="3">
        <f t="shared" ref="J227:J258" si="62">C135-I135</f>
        <v>91.75198494219876</v>
      </c>
      <c r="K227" s="2"/>
      <c r="L227">
        <f>(A135/$L$5)+(B135/$L$6)</f>
        <v>8.1268266540086148E-2</v>
      </c>
      <c r="M227" s="3">
        <f t="shared" ref="M227:M258" si="63">C135-L135</f>
        <v>91.063000267460211</v>
      </c>
      <c r="N227" s="2"/>
      <c r="O227">
        <f>(A135/$O$5)+(B135/$O$6)</f>
        <v>8.2461781781126883E-2</v>
      </c>
      <c r="P227" s="4">
        <f t="shared" ref="P227:P258" si="64">C135-O135</f>
        <v>33.53921784012482</v>
      </c>
      <c r="Q227" s="4"/>
    </row>
    <row r="228" spans="3:17" x14ac:dyDescent="0.3">
      <c r="C228" s="2"/>
      <c r="D228" s="3"/>
      <c r="E228">
        <f t="shared" ref="E228:E291" si="65">(A136/$E$5)+(B136/$E$6)</f>
        <v>7.8071397264550993E-2</v>
      </c>
      <c r="F228" s="3">
        <f t="shared" si="61"/>
        <v>117.99055907730531</v>
      </c>
      <c r="G228" s="3"/>
      <c r="H228" s="2"/>
      <c r="I228">
        <f t="shared" ref="I228:I291" si="66">(A136/$I$5)+(B136/$I$6)</f>
        <v>8.433419174690511E-2</v>
      </c>
      <c r="J228" s="3">
        <f t="shared" si="62"/>
        <v>114.75198494219876</v>
      </c>
      <c r="K228" s="2"/>
      <c r="L228">
        <f t="shared" ref="L228:L291" si="67">(A136/$L$5)+(B136/$L$6)</f>
        <v>8.1268266540086148E-2</v>
      </c>
      <c r="M228" s="3">
        <f t="shared" si="63"/>
        <v>114.06300026746021</v>
      </c>
      <c r="N228" s="2"/>
      <c r="O228">
        <f t="shared" ref="O228:O291" si="68">(A136/$O$5)+(B136/$O$6)</f>
        <v>8.2461781781126883E-2</v>
      </c>
      <c r="P228" s="4">
        <f t="shared" si="64"/>
        <v>56.53921784012482</v>
      </c>
      <c r="Q228" s="4"/>
    </row>
    <row r="229" spans="3:17" x14ac:dyDescent="0.3">
      <c r="C229" s="2"/>
      <c r="D229" s="3"/>
      <c r="E229">
        <f t="shared" si="65"/>
        <v>7.8071397264550993E-2</v>
      </c>
      <c r="F229" s="3">
        <f t="shared" si="61"/>
        <v>162.99055907730531</v>
      </c>
      <c r="G229" s="3"/>
      <c r="H229" s="2"/>
      <c r="I229">
        <f t="shared" si="66"/>
        <v>8.433419174690511E-2</v>
      </c>
      <c r="J229" s="3">
        <f t="shared" si="62"/>
        <v>159.75198494219876</v>
      </c>
      <c r="K229" s="2"/>
      <c r="L229">
        <f t="shared" si="67"/>
        <v>8.1268266540086148E-2</v>
      </c>
      <c r="M229" s="3">
        <f t="shared" si="63"/>
        <v>159.06300026746021</v>
      </c>
      <c r="N229" s="2"/>
      <c r="O229">
        <f t="shared" si="68"/>
        <v>8.2461781781126883E-2</v>
      </c>
      <c r="P229" s="4">
        <f t="shared" si="64"/>
        <v>101.53921784012482</v>
      </c>
      <c r="Q229" s="4"/>
    </row>
    <row r="230" spans="3:17" x14ac:dyDescent="0.3">
      <c r="C230" s="2"/>
      <c r="D230" s="3"/>
      <c r="E230">
        <f t="shared" si="65"/>
        <v>7.8071397264550993E-2</v>
      </c>
      <c r="F230" s="3">
        <f t="shared" si="61"/>
        <v>94.990559077305306</v>
      </c>
      <c r="G230" s="3"/>
      <c r="H230" s="2"/>
      <c r="I230">
        <f t="shared" si="66"/>
        <v>8.433419174690511E-2</v>
      </c>
      <c r="J230" s="3">
        <f t="shared" si="62"/>
        <v>91.75198494219876</v>
      </c>
      <c r="K230" s="2"/>
      <c r="L230">
        <f t="shared" si="67"/>
        <v>8.1268266540086148E-2</v>
      </c>
      <c r="M230" s="3">
        <f t="shared" si="63"/>
        <v>91.063000267460211</v>
      </c>
      <c r="N230" s="2"/>
      <c r="O230">
        <f t="shared" si="68"/>
        <v>8.2461781781126883E-2</v>
      </c>
      <c r="P230" s="4">
        <f t="shared" si="64"/>
        <v>33.53921784012482</v>
      </c>
      <c r="Q230" s="4"/>
    </row>
    <row r="231" spans="3:17" x14ac:dyDescent="0.3">
      <c r="C231" s="2"/>
      <c r="E231">
        <f t="shared" si="65"/>
        <v>7.8071397264550993E-2</v>
      </c>
      <c r="F231" s="3">
        <f t="shared" si="61"/>
        <v>85.990559077305306</v>
      </c>
      <c r="G231" s="3"/>
      <c r="H231" s="2"/>
      <c r="I231">
        <f t="shared" si="66"/>
        <v>8.433419174690511E-2</v>
      </c>
      <c r="J231" s="3">
        <f t="shared" si="62"/>
        <v>82.75198494219876</v>
      </c>
      <c r="K231" s="2"/>
      <c r="L231">
        <f t="shared" si="67"/>
        <v>8.1268266540086148E-2</v>
      </c>
      <c r="M231" s="3">
        <f t="shared" si="63"/>
        <v>82.063000267460211</v>
      </c>
      <c r="N231" s="2"/>
      <c r="O231">
        <f t="shared" si="68"/>
        <v>8.2461781781126883E-2</v>
      </c>
      <c r="P231" s="4">
        <f t="shared" si="64"/>
        <v>24.53921784012482</v>
      </c>
      <c r="Q231" s="4"/>
    </row>
    <row r="232" spans="3:17" x14ac:dyDescent="0.3">
      <c r="C232" s="2"/>
      <c r="D232" s="2"/>
      <c r="E232">
        <f t="shared" si="65"/>
        <v>0.15614279452910199</v>
      </c>
      <c r="F232" s="3">
        <f t="shared" si="61"/>
        <v>183.44916900903581</v>
      </c>
      <c r="G232" s="3"/>
      <c r="H232" s="2"/>
      <c r="I232">
        <f t="shared" si="66"/>
        <v>0.16866838349381022</v>
      </c>
      <c r="J232" s="3">
        <f t="shared" si="62"/>
        <v>178.44447208683823</v>
      </c>
      <c r="K232" s="2"/>
      <c r="L232">
        <f t="shared" si="67"/>
        <v>0.1625365330801723</v>
      </c>
      <c r="M232" s="3">
        <f t="shared" si="63"/>
        <v>177.79836255610985</v>
      </c>
      <c r="N232" s="2"/>
      <c r="O232">
        <f t="shared" si="68"/>
        <v>0.16492356356225377</v>
      </c>
      <c r="P232" s="4">
        <f t="shared" si="64"/>
        <v>106.43229384476263</v>
      </c>
      <c r="Q232" s="4"/>
    </row>
    <row r="233" spans="3:17" x14ac:dyDescent="0.3">
      <c r="C233" s="2"/>
      <c r="D233" s="2"/>
      <c r="E233">
        <f t="shared" si="65"/>
        <v>0.15614279452910199</v>
      </c>
      <c r="F233" s="3">
        <f t="shared" si="61"/>
        <v>129.44916900903581</v>
      </c>
      <c r="G233" s="3"/>
      <c r="H233" s="2"/>
      <c r="I233">
        <f t="shared" si="66"/>
        <v>0.16866838349381022</v>
      </c>
      <c r="J233" s="3">
        <f t="shared" si="62"/>
        <v>124.44447208683823</v>
      </c>
      <c r="K233" s="2"/>
      <c r="L233">
        <f t="shared" si="67"/>
        <v>0.1625365330801723</v>
      </c>
      <c r="M233" s="3">
        <f t="shared" si="63"/>
        <v>123.79836255610985</v>
      </c>
      <c r="N233" s="2"/>
      <c r="O233">
        <f t="shared" si="68"/>
        <v>0.16492356356225377</v>
      </c>
      <c r="P233" s="4">
        <f t="shared" si="64"/>
        <v>52.432293844762626</v>
      </c>
      <c r="Q233" s="4"/>
    </row>
    <row r="234" spans="3:17" x14ac:dyDescent="0.3">
      <c r="C234" s="2"/>
      <c r="D234" s="2"/>
      <c r="E234">
        <f t="shared" si="65"/>
        <v>0.15614279452910199</v>
      </c>
      <c r="F234" s="3">
        <f t="shared" si="61"/>
        <v>59.449169009035813</v>
      </c>
      <c r="G234" s="3"/>
      <c r="H234" s="2"/>
      <c r="I234">
        <f t="shared" si="66"/>
        <v>0.16866838349381022</v>
      </c>
      <c r="J234" s="3">
        <f t="shared" si="62"/>
        <v>54.444472086838232</v>
      </c>
      <c r="K234" s="2"/>
      <c r="L234">
        <f t="shared" si="67"/>
        <v>0.1625365330801723</v>
      </c>
      <c r="M234" s="3">
        <f t="shared" si="63"/>
        <v>53.798362556109851</v>
      </c>
      <c r="N234" s="2"/>
      <c r="O234">
        <f t="shared" si="68"/>
        <v>0.16492356356225377</v>
      </c>
      <c r="P234" s="4">
        <f t="shared" si="64"/>
        <v>-17.567706155237374</v>
      </c>
      <c r="Q234" s="4"/>
    </row>
    <row r="235" spans="3:17" x14ac:dyDescent="0.3">
      <c r="C235" s="2"/>
      <c r="D235" s="2"/>
      <c r="E235">
        <f t="shared" si="65"/>
        <v>0.15614279452910199</v>
      </c>
      <c r="F235" s="3">
        <f t="shared" si="61"/>
        <v>118.44916900903581</v>
      </c>
      <c r="G235" s="3"/>
      <c r="H235" s="2"/>
      <c r="I235">
        <f t="shared" si="66"/>
        <v>0.16866838349381022</v>
      </c>
      <c r="J235" s="3">
        <f t="shared" si="62"/>
        <v>113.44447208683823</v>
      </c>
      <c r="K235" s="2"/>
      <c r="L235">
        <f t="shared" si="67"/>
        <v>0.1625365330801723</v>
      </c>
      <c r="M235" s="3">
        <f t="shared" si="63"/>
        <v>112.79836255610985</v>
      </c>
      <c r="N235" s="2"/>
      <c r="O235">
        <f t="shared" si="68"/>
        <v>0.16492356356225377</v>
      </c>
      <c r="P235" s="4">
        <f t="shared" si="64"/>
        <v>41.432293844762626</v>
      </c>
      <c r="Q235" s="4"/>
    </row>
    <row r="236" spans="3:17" x14ac:dyDescent="0.3">
      <c r="D236" s="2"/>
      <c r="E236">
        <f t="shared" si="65"/>
        <v>0.15614279452910199</v>
      </c>
      <c r="F236" s="3">
        <f t="shared" si="61"/>
        <v>85.449169009035813</v>
      </c>
      <c r="G236" s="3"/>
      <c r="H236" s="2"/>
      <c r="I236">
        <f t="shared" si="66"/>
        <v>0.16866838349381022</v>
      </c>
      <c r="J236" s="3">
        <f t="shared" si="62"/>
        <v>80.444472086838232</v>
      </c>
      <c r="K236" s="2"/>
      <c r="L236">
        <f t="shared" si="67"/>
        <v>0.1625365330801723</v>
      </c>
      <c r="M236" s="3">
        <f t="shared" si="63"/>
        <v>79.798362556109851</v>
      </c>
      <c r="N236" s="2"/>
      <c r="O236">
        <f t="shared" si="68"/>
        <v>0.16492356356225377</v>
      </c>
      <c r="P236" s="4">
        <f t="shared" si="64"/>
        <v>8.4322938447626257</v>
      </c>
      <c r="Q236" s="4"/>
    </row>
    <row r="237" spans="3:17" x14ac:dyDescent="0.3">
      <c r="D237" s="2"/>
      <c r="E237">
        <f t="shared" si="65"/>
        <v>0.31228558905820397</v>
      </c>
      <c r="F237" s="3">
        <f t="shared" si="61"/>
        <v>80.792773795190669</v>
      </c>
      <c r="G237" s="3"/>
      <c r="H237" s="2"/>
      <c r="I237">
        <f t="shared" si="66"/>
        <v>0.33733676698762044</v>
      </c>
      <c r="J237" s="3">
        <f t="shared" si="62"/>
        <v>71.684661224311867</v>
      </c>
      <c r="K237" s="2"/>
      <c r="L237">
        <f t="shared" si="67"/>
        <v>0.32507306616034459</v>
      </c>
      <c r="M237" s="3">
        <f t="shared" si="63"/>
        <v>71.263442638955212</v>
      </c>
      <c r="N237" s="2"/>
      <c r="O237">
        <f t="shared" si="68"/>
        <v>0.32984712712450753</v>
      </c>
      <c r="P237" s="4">
        <f t="shared" si="64"/>
        <v>-15.758903391245894</v>
      </c>
      <c r="Q237" s="4"/>
    </row>
    <row r="238" spans="3:17" x14ac:dyDescent="0.3">
      <c r="D238" s="2"/>
      <c r="E238">
        <f t="shared" si="65"/>
        <v>0.31228558905820397</v>
      </c>
      <c r="F238" s="3">
        <f t="shared" si="61"/>
        <v>116.79277379519067</v>
      </c>
      <c r="G238" s="3"/>
      <c r="H238" s="2"/>
      <c r="I238">
        <f t="shared" si="66"/>
        <v>0.33733676698762044</v>
      </c>
      <c r="J238" s="3">
        <f t="shared" si="62"/>
        <v>107.68466122431187</v>
      </c>
      <c r="K238" s="2"/>
      <c r="L238">
        <f t="shared" si="67"/>
        <v>0.32507306616034459</v>
      </c>
      <c r="M238" s="3">
        <f t="shared" si="63"/>
        <v>107.26344263895521</v>
      </c>
      <c r="N238" s="2"/>
      <c r="O238">
        <f t="shared" si="68"/>
        <v>0.32984712712450753</v>
      </c>
      <c r="P238" s="4">
        <f t="shared" si="64"/>
        <v>20.241096608754106</v>
      </c>
      <c r="Q238" s="4"/>
    </row>
    <row r="239" spans="3:17" x14ac:dyDescent="0.3">
      <c r="D239" s="2"/>
      <c r="E239">
        <f t="shared" si="65"/>
        <v>0.31228558905820397</v>
      </c>
      <c r="F239" s="3">
        <f t="shared" si="61"/>
        <v>154.79277379519067</v>
      </c>
      <c r="G239" s="3"/>
      <c r="H239" s="2"/>
      <c r="I239">
        <f t="shared" si="66"/>
        <v>0.33733676698762044</v>
      </c>
      <c r="J239" s="3">
        <f t="shared" si="62"/>
        <v>145.68466122431187</v>
      </c>
      <c r="K239" s="2"/>
      <c r="L239">
        <f t="shared" si="67"/>
        <v>0.32507306616034459</v>
      </c>
      <c r="M239" s="3">
        <f t="shared" si="63"/>
        <v>145.26344263895521</v>
      </c>
      <c r="N239" s="2"/>
      <c r="O239">
        <f t="shared" si="68"/>
        <v>0.32984712712450753</v>
      </c>
      <c r="P239" s="4">
        <f t="shared" si="64"/>
        <v>58.241096608754106</v>
      </c>
      <c r="Q239" s="4"/>
    </row>
    <row r="240" spans="3:17" x14ac:dyDescent="0.3">
      <c r="D240" s="2"/>
      <c r="E240">
        <f t="shared" si="65"/>
        <v>0.31228558905820397</v>
      </c>
      <c r="F240" s="3">
        <f t="shared" si="61"/>
        <v>48.792773795190669</v>
      </c>
      <c r="G240" s="3"/>
      <c r="H240" s="2"/>
      <c r="I240">
        <f t="shared" si="66"/>
        <v>0.33733676698762044</v>
      </c>
      <c r="J240" s="3">
        <f t="shared" si="62"/>
        <v>39.684661224311867</v>
      </c>
      <c r="K240" s="2"/>
      <c r="L240">
        <f t="shared" si="67"/>
        <v>0.32507306616034459</v>
      </c>
      <c r="M240" s="3">
        <f t="shared" si="63"/>
        <v>39.263442638955212</v>
      </c>
      <c r="N240" s="2"/>
      <c r="O240">
        <f t="shared" si="68"/>
        <v>0.32984712712450753</v>
      </c>
      <c r="P240" s="4">
        <f t="shared" si="64"/>
        <v>-47.758903391245894</v>
      </c>
      <c r="Q240" s="4"/>
    </row>
    <row r="241" spans="5:17" x14ac:dyDescent="0.3">
      <c r="E241">
        <f t="shared" si="65"/>
        <v>0.31228558905820397</v>
      </c>
      <c r="F241" s="3">
        <f t="shared" si="61"/>
        <v>52.792773795190669</v>
      </c>
      <c r="G241" s="3"/>
      <c r="H241" s="2"/>
      <c r="I241">
        <f t="shared" si="66"/>
        <v>0.33733676698762044</v>
      </c>
      <c r="J241" s="3">
        <f t="shared" si="62"/>
        <v>43.684661224311867</v>
      </c>
      <c r="K241" s="2"/>
      <c r="L241">
        <f t="shared" si="67"/>
        <v>0.32507306616034459</v>
      </c>
      <c r="M241" s="3">
        <f t="shared" si="63"/>
        <v>43.263442638955212</v>
      </c>
      <c r="N241" s="2"/>
      <c r="O241">
        <f t="shared" si="68"/>
        <v>0.32984712712450753</v>
      </c>
      <c r="P241" s="4">
        <f t="shared" si="64"/>
        <v>-43.758903391245894</v>
      </c>
      <c r="Q241" s="4"/>
    </row>
    <row r="242" spans="5:17" x14ac:dyDescent="0.3">
      <c r="E242">
        <f t="shared" si="65"/>
        <v>0.62457117811640794</v>
      </c>
      <c r="F242" s="3">
        <f t="shared" si="61"/>
        <v>39.530680237206525</v>
      </c>
      <c r="G242" s="3"/>
      <c r="H242" s="2"/>
      <c r="I242">
        <f t="shared" si="66"/>
        <v>0.67467353397524088</v>
      </c>
      <c r="J242" s="3">
        <f t="shared" si="62"/>
        <v>14.596346103987344</v>
      </c>
      <c r="K242" s="2"/>
      <c r="L242">
        <f t="shared" si="67"/>
        <v>0.65014613232068919</v>
      </c>
      <c r="M242" s="3">
        <f t="shared" si="63"/>
        <v>14.93550067729916</v>
      </c>
      <c r="N242" s="2"/>
      <c r="O242">
        <f t="shared" si="68"/>
        <v>0.65969425424901507</v>
      </c>
      <c r="P242" s="4">
        <f t="shared" si="64"/>
        <v>-86.01137925287162</v>
      </c>
      <c r="Q242" s="4"/>
    </row>
    <row r="243" spans="5:17" x14ac:dyDescent="0.3">
      <c r="E243">
        <f t="shared" si="65"/>
        <v>0.62457117811640794</v>
      </c>
      <c r="F243" s="3">
        <f t="shared" si="61"/>
        <v>354.53068023720652</v>
      </c>
      <c r="G243" s="3"/>
      <c r="H243" s="2"/>
      <c r="I243">
        <f t="shared" si="66"/>
        <v>0.67467353397524088</v>
      </c>
      <c r="J243" s="3">
        <f t="shared" si="62"/>
        <v>329.59634610398734</v>
      </c>
      <c r="K243" s="2"/>
      <c r="L243">
        <f t="shared" si="67"/>
        <v>0.65014613232068919</v>
      </c>
      <c r="M243" s="3">
        <f t="shared" si="63"/>
        <v>329.93550067729916</v>
      </c>
      <c r="N243" s="2"/>
      <c r="O243">
        <f t="shared" si="68"/>
        <v>0.65969425424901507</v>
      </c>
      <c r="P243" s="4">
        <f t="shared" si="64"/>
        <v>228.98862074712838</v>
      </c>
      <c r="Q243" s="4"/>
    </row>
    <row r="244" spans="5:17" x14ac:dyDescent="0.3">
      <c r="E244">
        <f t="shared" si="65"/>
        <v>0.62457117811640794</v>
      </c>
      <c r="F244" s="3">
        <f t="shared" si="61"/>
        <v>-28.469319762793475</v>
      </c>
      <c r="G244" s="3"/>
      <c r="H244" s="2"/>
      <c r="I244">
        <f t="shared" si="66"/>
        <v>0.67467353397524088</v>
      </c>
      <c r="J244" s="3">
        <f t="shared" si="62"/>
        <v>-53.403653896012656</v>
      </c>
      <c r="K244" s="2"/>
      <c r="L244">
        <f t="shared" si="67"/>
        <v>0.65014613232068919</v>
      </c>
      <c r="M244" s="3">
        <f t="shared" si="63"/>
        <v>-53.06449932270084</v>
      </c>
      <c r="N244" s="2"/>
      <c r="O244">
        <f t="shared" si="68"/>
        <v>0.65969425424901507</v>
      </c>
      <c r="P244" s="4">
        <f t="shared" si="64"/>
        <v>-154.01137925287162</v>
      </c>
      <c r="Q244" s="4"/>
    </row>
    <row r="245" spans="5:17" x14ac:dyDescent="0.3">
      <c r="E245">
        <f t="shared" si="65"/>
        <v>0.62457117811640794</v>
      </c>
      <c r="F245" s="3">
        <f t="shared" si="61"/>
        <v>307.53068023720652</v>
      </c>
      <c r="G245" s="3"/>
      <c r="H245" s="2"/>
      <c r="I245">
        <f t="shared" si="66"/>
        <v>0.67467353397524088</v>
      </c>
      <c r="J245" s="3">
        <f t="shared" si="62"/>
        <v>282.59634610398734</v>
      </c>
      <c r="K245" s="2"/>
      <c r="L245">
        <f t="shared" si="67"/>
        <v>0.65014613232068919</v>
      </c>
      <c r="M245" s="3">
        <f t="shared" si="63"/>
        <v>282.93550067729916</v>
      </c>
      <c r="N245" s="2"/>
      <c r="O245">
        <f t="shared" si="68"/>
        <v>0.65969425424901507</v>
      </c>
      <c r="P245" s="4">
        <f t="shared" si="64"/>
        <v>181.98862074712838</v>
      </c>
      <c r="Q245" s="4"/>
    </row>
    <row r="246" spans="5:17" x14ac:dyDescent="0.3">
      <c r="E246">
        <f t="shared" si="65"/>
        <v>0.62457117811640794</v>
      </c>
      <c r="F246" s="3">
        <f t="shared" si="61"/>
        <v>310.53068023720652</v>
      </c>
      <c r="G246" s="3"/>
      <c r="H246" s="2"/>
      <c r="I246">
        <f t="shared" si="66"/>
        <v>0.67467353397524088</v>
      </c>
      <c r="J246" s="3">
        <f t="shared" si="62"/>
        <v>285.59634610398734</v>
      </c>
      <c r="K246" s="2"/>
      <c r="L246">
        <f t="shared" si="67"/>
        <v>0.65014613232068919</v>
      </c>
      <c r="M246" s="3">
        <f t="shared" si="63"/>
        <v>285.93550067729916</v>
      </c>
      <c r="N246" s="2"/>
      <c r="O246">
        <f t="shared" si="68"/>
        <v>0.65969425424901507</v>
      </c>
      <c r="P246" s="4">
        <f t="shared" si="64"/>
        <v>184.98862074712838</v>
      </c>
      <c r="Q246" s="4"/>
    </row>
    <row r="247" spans="5:17" x14ac:dyDescent="0.3">
      <c r="E247">
        <f t="shared" si="65"/>
        <v>1.2491423562328159</v>
      </c>
      <c r="F247" s="3">
        <f t="shared" si="61"/>
        <v>109.09621020264731</v>
      </c>
      <c r="G247" s="3"/>
      <c r="H247" s="2"/>
      <c r="I247">
        <f t="shared" si="66"/>
        <v>1.3493470679504818</v>
      </c>
      <c r="J247" s="3">
        <f t="shared" si="62"/>
        <v>-13.618099093852493</v>
      </c>
      <c r="K247" s="2"/>
      <c r="L247">
        <f t="shared" si="67"/>
        <v>1.3002922646413784</v>
      </c>
      <c r="M247" s="3">
        <f t="shared" si="63"/>
        <v>-21.514627404296675</v>
      </c>
      <c r="N247" s="2"/>
      <c r="O247">
        <f t="shared" si="68"/>
        <v>1.3193885084980301</v>
      </c>
      <c r="P247" s="4">
        <f t="shared" si="64"/>
        <v>23.271105359903117</v>
      </c>
      <c r="Q247" s="4"/>
    </row>
    <row r="248" spans="5:17" x14ac:dyDescent="0.3">
      <c r="E248">
        <f t="shared" si="65"/>
        <v>1.2491423562328159</v>
      </c>
      <c r="F248" s="3">
        <f t="shared" si="61"/>
        <v>169.09621020264731</v>
      </c>
      <c r="G248" s="3"/>
      <c r="H248" s="2"/>
      <c r="I248">
        <f t="shared" si="66"/>
        <v>1.3493470679504818</v>
      </c>
      <c r="J248" s="3">
        <f t="shared" si="62"/>
        <v>46.381900906147507</v>
      </c>
      <c r="K248" s="2"/>
      <c r="L248">
        <f t="shared" si="67"/>
        <v>1.3002922646413784</v>
      </c>
      <c r="M248" s="3">
        <f t="shared" si="63"/>
        <v>38.485372595703325</v>
      </c>
      <c r="N248" s="2"/>
      <c r="O248">
        <f t="shared" si="68"/>
        <v>1.3193885084980301</v>
      </c>
      <c r="P248" s="4">
        <f t="shared" si="64"/>
        <v>83.271105359903117</v>
      </c>
      <c r="Q248" s="4"/>
    </row>
    <row r="249" spans="5:17" x14ac:dyDescent="0.3">
      <c r="E249">
        <f t="shared" si="65"/>
        <v>1.2491423562328159</v>
      </c>
      <c r="F249" s="3">
        <f t="shared" si="61"/>
        <v>209.09621020264731</v>
      </c>
      <c r="G249" s="3"/>
      <c r="H249" s="2"/>
      <c r="I249">
        <f t="shared" si="66"/>
        <v>1.3493470679504818</v>
      </c>
      <c r="J249" s="3">
        <f t="shared" si="62"/>
        <v>86.381900906147507</v>
      </c>
      <c r="K249" s="2"/>
      <c r="L249">
        <f t="shared" si="67"/>
        <v>1.3002922646413784</v>
      </c>
      <c r="M249" s="3">
        <f t="shared" si="63"/>
        <v>78.485372595703325</v>
      </c>
      <c r="N249" s="2"/>
      <c r="O249">
        <f t="shared" si="68"/>
        <v>1.3193885084980301</v>
      </c>
      <c r="P249" s="4">
        <f t="shared" si="64"/>
        <v>123.27110535990312</v>
      </c>
      <c r="Q249" s="4"/>
    </row>
    <row r="250" spans="5:17" x14ac:dyDescent="0.3">
      <c r="E250">
        <f t="shared" si="65"/>
        <v>1.2491423562328159</v>
      </c>
      <c r="F250" s="3">
        <f t="shared" si="61"/>
        <v>9.0962102026473133</v>
      </c>
      <c r="G250" s="3"/>
      <c r="H250" s="2"/>
      <c r="I250">
        <f t="shared" si="66"/>
        <v>1.3493470679504818</v>
      </c>
      <c r="J250" s="3">
        <f t="shared" si="62"/>
        <v>-113.61809909385249</v>
      </c>
      <c r="K250" s="2"/>
      <c r="L250">
        <f t="shared" si="67"/>
        <v>1.3002922646413784</v>
      </c>
      <c r="M250" s="3">
        <f t="shared" si="63"/>
        <v>-121.51462740429668</v>
      </c>
      <c r="N250" s="2"/>
      <c r="O250">
        <f t="shared" si="68"/>
        <v>1.3193885084980301</v>
      </c>
      <c r="P250" s="4">
        <f t="shared" si="64"/>
        <v>-76.728894640096883</v>
      </c>
      <c r="Q250" s="4"/>
    </row>
    <row r="251" spans="5:17" x14ac:dyDescent="0.3">
      <c r="E251">
        <f t="shared" si="65"/>
        <v>1.2491423562328159</v>
      </c>
      <c r="F251" s="3">
        <f t="shared" si="61"/>
        <v>9.0962102026473133</v>
      </c>
      <c r="G251" s="3"/>
      <c r="H251" s="2"/>
      <c r="I251">
        <f t="shared" si="66"/>
        <v>1.3493470679504818</v>
      </c>
      <c r="J251" s="3">
        <f t="shared" si="62"/>
        <v>-113.61809909385249</v>
      </c>
      <c r="K251" s="2"/>
      <c r="L251">
        <f t="shared" si="67"/>
        <v>1.3002922646413784</v>
      </c>
      <c r="M251" s="3">
        <f t="shared" si="63"/>
        <v>-121.51462740429668</v>
      </c>
      <c r="N251" s="2"/>
      <c r="O251">
        <f t="shared" si="68"/>
        <v>1.3193885084980301</v>
      </c>
      <c r="P251" s="4">
        <f t="shared" si="64"/>
        <v>-76.728894640096883</v>
      </c>
      <c r="Q251" s="4"/>
    </row>
    <row r="252" spans="5:17" x14ac:dyDescent="0.3">
      <c r="E252">
        <f t="shared" si="65"/>
        <v>0.22921419179365293</v>
      </c>
      <c r="F252" s="3">
        <f t="shared" si="61"/>
        <v>46.967230482011473</v>
      </c>
      <c r="G252" s="3"/>
      <c r="H252" s="2"/>
      <c r="I252">
        <f t="shared" si="66"/>
        <v>0.24800257524071526</v>
      </c>
      <c r="J252" s="3">
        <f t="shared" si="62"/>
        <v>48.244478842333592</v>
      </c>
      <c r="K252" s="2"/>
      <c r="L252">
        <f t="shared" si="67"/>
        <v>0.23880479961718354</v>
      </c>
      <c r="M252" s="3">
        <f t="shared" si="63"/>
        <v>47.836318528637321</v>
      </c>
      <c r="N252" s="2"/>
      <c r="O252">
        <f t="shared" si="68"/>
        <v>0.2423853453433806</v>
      </c>
      <c r="P252" s="4">
        <f t="shared" si="64"/>
        <v>99.888868589461254</v>
      </c>
      <c r="Q252" s="4"/>
    </row>
    <row r="253" spans="5:17" x14ac:dyDescent="0.3">
      <c r="E253">
        <f t="shared" si="65"/>
        <v>0.22921419179365293</v>
      </c>
      <c r="F253" s="3">
        <f t="shared" si="61"/>
        <v>22.967230482011473</v>
      </c>
      <c r="G253" s="3"/>
      <c r="H253" s="2"/>
      <c r="I253">
        <f t="shared" si="66"/>
        <v>0.24800257524071526</v>
      </c>
      <c r="J253" s="3">
        <f t="shared" si="62"/>
        <v>24.244478842333592</v>
      </c>
      <c r="K253" s="2"/>
      <c r="L253">
        <f t="shared" si="67"/>
        <v>0.23880479961718354</v>
      </c>
      <c r="M253" s="3">
        <f t="shared" si="63"/>
        <v>23.836318528637321</v>
      </c>
      <c r="N253" s="2"/>
      <c r="O253">
        <f t="shared" si="68"/>
        <v>0.2423853453433806</v>
      </c>
      <c r="P253" s="4">
        <f t="shared" si="64"/>
        <v>75.888868589461254</v>
      </c>
      <c r="Q253" s="4"/>
    </row>
    <row r="254" spans="5:17" x14ac:dyDescent="0.3">
      <c r="E254">
        <f t="shared" si="65"/>
        <v>0.22921419179365293</v>
      </c>
      <c r="F254" s="3">
        <f t="shared" si="61"/>
        <v>-183.03276951798853</v>
      </c>
      <c r="G254" s="3"/>
      <c r="H254" s="2"/>
      <c r="I254">
        <f t="shared" si="66"/>
        <v>0.24800257524071526</v>
      </c>
      <c r="J254" s="3">
        <f t="shared" si="62"/>
        <v>-181.75552115766641</v>
      </c>
      <c r="K254" s="2"/>
      <c r="L254">
        <f t="shared" si="67"/>
        <v>0.23880479961718354</v>
      </c>
      <c r="M254" s="3">
        <f t="shared" si="63"/>
        <v>-182.16368147136268</v>
      </c>
      <c r="N254" s="2"/>
      <c r="O254">
        <f t="shared" si="68"/>
        <v>0.2423853453433806</v>
      </c>
      <c r="P254" s="4">
        <f t="shared" si="64"/>
        <v>-130.11113141053875</v>
      </c>
      <c r="Q254" s="4"/>
    </row>
    <row r="255" spans="5:17" x14ac:dyDescent="0.3">
      <c r="E255">
        <f t="shared" si="65"/>
        <v>0.22921419179365293</v>
      </c>
      <c r="F255" s="3">
        <f t="shared" si="61"/>
        <v>58.967230482011473</v>
      </c>
      <c r="G255" s="3"/>
      <c r="H255" s="2"/>
      <c r="I255">
        <f t="shared" si="66"/>
        <v>0.24800257524071526</v>
      </c>
      <c r="J255" s="3">
        <f t="shared" si="62"/>
        <v>60.244478842333592</v>
      </c>
      <c r="K255" s="2"/>
      <c r="L255">
        <f t="shared" si="67"/>
        <v>0.23880479961718354</v>
      </c>
      <c r="M255" s="3">
        <f t="shared" si="63"/>
        <v>59.836318528637321</v>
      </c>
      <c r="N255" s="2"/>
      <c r="O255">
        <f t="shared" si="68"/>
        <v>0.2423853453433806</v>
      </c>
      <c r="P255" s="4">
        <f t="shared" si="64"/>
        <v>111.88886858946125</v>
      </c>
      <c r="Q255" s="4"/>
    </row>
    <row r="256" spans="5:17" x14ac:dyDescent="0.3">
      <c r="E256">
        <f t="shared" si="65"/>
        <v>0.22921419179365293</v>
      </c>
      <c r="F256" s="3">
        <f t="shared" si="61"/>
        <v>-42.032769517988527</v>
      </c>
      <c r="G256" s="3"/>
      <c r="H256" s="2"/>
      <c r="I256">
        <f t="shared" si="66"/>
        <v>0.24800257524071526</v>
      </c>
      <c r="J256" s="3">
        <f t="shared" si="62"/>
        <v>-40.755521157666408</v>
      </c>
      <c r="K256" s="2"/>
      <c r="L256">
        <f t="shared" si="67"/>
        <v>0.23880479961718354</v>
      </c>
      <c r="M256" s="3">
        <f t="shared" si="63"/>
        <v>-41.163681471362679</v>
      </c>
      <c r="N256" s="2"/>
      <c r="O256">
        <f t="shared" si="68"/>
        <v>0.2423853453433806</v>
      </c>
      <c r="P256" s="4">
        <f t="shared" si="64"/>
        <v>10.888868589461254</v>
      </c>
      <c r="Q256" s="4"/>
    </row>
    <row r="257" spans="5:17" x14ac:dyDescent="0.3">
      <c r="E257">
        <f t="shared" si="65"/>
        <v>0.45842838358730587</v>
      </c>
      <c r="F257" s="3">
        <f t="shared" si="61"/>
        <v>27.377726567519176</v>
      </c>
      <c r="G257" s="3"/>
      <c r="H257" s="2"/>
      <c r="I257">
        <f t="shared" si="66"/>
        <v>0.49600515048143051</v>
      </c>
      <c r="J257" s="3">
        <f t="shared" si="62"/>
        <v>28.908747745012079</v>
      </c>
      <c r="K257" s="2"/>
      <c r="L257">
        <f t="shared" si="67"/>
        <v>0.47760959923436708</v>
      </c>
      <c r="M257" s="3">
        <f t="shared" si="63"/>
        <v>29.070946537077361</v>
      </c>
      <c r="N257" s="2"/>
      <c r="O257">
        <f t="shared" si="68"/>
        <v>0.48477069068676121</v>
      </c>
      <c r="P257" s="4">
        <f t="shared" si="64"/>
        <v>75.568356476763029</v>
      </c>
      <c r="Q257" s="4"/>
    </row>
    <row r="258" spans="5:17" x14ac:dyDescent="0.3">
      <c r="E258">
        <f t="shared" si="65"/>
        <v>0.45842838358730587</v>
      </c>
      <c r="F258" s="3">
        <f t="shared" si="61"/>
        <v>-42.622273432480824</v>
      </c>
      <c r="G258" s="3"/>
      <c r="H258" s="2"/>
      <c r="I258">
        <f t="shared" si="66"/>
        <v>0.49600515048143051</v>
      </c>
      <c r="J258" s="3">
        <f t="shared" si="62"/>
        <v>-41.091252254987921</v>
      </c>
      <c r="K258" s="2"/>
      <c r="L258">
        <f t="shared" si="67"/>
        <v>0.47760959923436708</v>
      </c>
      <c r="M258" s="3">
        <f t="shared" si="63"/>
        <v>-40.929053462922639</v>
      </c>
      <c r="N258" s="2"/>
      <c r="O258">
        <f t="shared" si="68"/>
        <v>0.48477069068676121</v>
      </c>
      <c r="P258" s="4">
        <f t="shared" si="64"/>
        <v>5.5683564767630287</v>
      </c>
      <c r="Q258" s="4"/>
    </row>
    <row r="259" spans="5:17" x14ac:dyDescent="0.3">
      <c r="E259">
        <f t="shared" si="65"/>
        <v>0.45842838358730587</v>
      </c>
      <c r="F259" s="3">
        <f t="shared" ref="F259:F290" si="69">C167-E167</f>
        <v>20.377726567519176</v>
      </c>
      <c r="G259" s="3"/>
      <c r="H259" s="2"/>
      <c r="I259">
        <f t="shared" si="66"/>
        <v>0.49600515048143051</v>
      </c>
      <c r="J259" s="3">
        <f t="shared" ref="J259:J290" si="70">C167-I167</f>
        <v>21.908747745012079</v>
      </c>
      <c r="K259" s="2"/>
      <c r="L259">
        <f t="shared" si="67"/>
        <v>0.47760959923436708</v>
      </c>
      <c r="M259" s="3">
        <f t="shared" ref="M259:M290" si="71">C167-L167</f>
        <v>22.070946537077361</v>
      </c>
      <c r="N259" s="2"/>
      <c r="O259">
        <f t="shared" si="68"/>
        <v>0.48477069068676121</v>
      </c>
      <c r="P259" s="4">
        <f t="shared" ref="P259:P290" si="72">C167-O167</f>
        <v>68.568356476763029</v>
      </c>
      <c r="Q259" s="4"/>
    </row>
    <row r="260" spans="5:17" x14ac:dyDescent="0.3">
      <c r="E260">
        <f t="shared" si="65"/>
        <v>0.45842838358730587</v>
      </c>
      <c r="F260" s="3">
        <f t="shared" si="69"/>
        <v>62.377726567519176</v>
      </c>
      <c r="G260" s="3"/>
      <c r="H260" s="2"/>
      <c r="I260">
        <f t="shared" si="66"/>
        <v>0.49600515048143051</v>
      </c>
      <c r="J260" s="3">
        <f t="shared" si="70"/>
        <v>63.908747745012079</v>
      </c>
      <c r="K260" s="2"/>
      <c r="L260">
        <f t="shared" si="67"/>
        <v>0.47760959923436708</v>
      </c>
      <c r="M260" s="3">
        <f t="shared" si="71"/>
        <v>64.070946537077361</v>
      </c>
      <c r="N260" s="2"/>
      <c r="O260">
        <f t="shared" si="68"/>
        <v>0.48477069068676121</v>
      </c>
      <c r="P260" s="4">
        <f t="shared" si="72"/>
        <v>110.56835647676303</v>
      </c>
      <c r="Q260" s="4"/>
    </row>
    <row r="261" spans="5:17" x14ac:dyDescent="0.3">
      <c r="E261">
        <f t="shared" si="65"/>
        <v>0.45842838358730587</v>
      </c>
      <c r="F261" s="3">
        <f t="shared" si="69"/>
        <v>-46.622273432480824</v>
      </c>
      <c r="G261" s="3"/>
      <c r="H261" s="2"/>
      <c r="I261">
        <f t="shared" si="66"/>
        <v>0.49600515048143051</v>
      </c>
      <c r="J261" s="3">
        <f t="shared" si="70"/>
        <v>-45.091252254987921</v>
      </c>
      <c r="K261" s="2"/>
      <c r="L261">
        <f t="shared" si="67"/>
        <v>0.47760959923436708</v>
      </c>
      <c r="M261" s="3">
        <f t="shared" si="71"/>
        <v>-44.929053462922639</v>
      </c>
      <c r="N261" s="2"/>
      <c r="O261">
        <f t="shared" si="68"/>
        <v>0.48477069068676121</v>
      </c>
      <c r="P261" s="4">
        <f t="shared" si="72"/>
        <v>1.5683564767630287</v>
      </c>
      <c r="Q261" s="4"/>
    </row>
    <row r="262" spans="5:17" x14ac:dyDescent="0.3">
      <c r="E262">
        <f t="shared" si="65"/>
        <v>0.91685676717461173</v>
      </c>
      <c r="F262" s="3">
        <f t="shared" si="69"/>
        <v>-12.567525272870625</v>
      </c>
      <c r="G262" s="3"/>
      <c r="H262" s="2"/>
      <c r="I262">
        <f t="shared" si="66"/>
        <v>0.99201030096286102</v>
      </c>
      <c r="J262" s="3">
        <f t="shared" si="70"/>
        <v>37.575656604570213</v>
      </c>
      <c r="K262" s="2"/>
      <c r="L262">
        <f t="shared" si="67"/>
        <v>0.95521919846873415</v>
      </c>
      <c r="M262" s="3">
        <f t="shared" si="71"/>
        <v>40.186783289920413</v>
      </c>
      <c r="N262" s="2"/>
      <c r="O262">
        <f t="shared" si="68"/>
        <v>0.96954138137352242</v>
      </c>
      <c r="P262" s="4">
        <f t="shared" si="72"/>
        <v>-113.85390721439876</v>
      </c>
      <c r="Q262" s="4"/>
    </row>
    <row r="263" spans="5:17" x14ac:dyDescent="0.3">
      <c r="E263">
        <f t="shared" si="65"/>
        <v>0.91685676717461173</v>
      </c>
      <c r="F263" s="3">
        <f t="shared" si="69"/>
        <v>-61.567525272870625</v>
      </c>
      <c r="G263" s="3"/>
      <c r="H263" s="2"/>
      <c r="I263">
        <f t="shared" si="66"/>
        <v>0.99201030096286102</v>
      </c>
      <c r="J263" s="3">
        <f t="shared" si="70"/>
        <v>-11.424343395429787</v>
      </c>
      <c r="K263" s="2"/>
      <c r="L263">
        <f t="shared" si="67"/>
        <v>0.95521919846873415</v>
      </c>
      <c r="M263" s="3">
        <f t="shared" si="71"/>
        <v>-8.8132167100795868</v>
      </c>
      <c r="N263" s="2"/>
      <c r="O263">
        <f t="shared" si="68"/>
        <v>0.96954138137352242</v>
      </c>
      <c r="P263" s="4">
        <f t="shared" si="72"/>
        <v>-162.85390721439876</v>
      </c>
      <c r="Q263" s="4"/>
    </row>
    <row r="264" spans="5:17" x14ac:dyDescent="0.3">
      <c r="E264">
        <f t="shared" si="65"/>
        <v>0.91685676717461173</v>
      </c>
      <c r="F264" s="3">
        <f t="shared" si="69"/>
        <v>-158.56752527287063</v>
      </c>
      <c r="G264" s="3"/>
      <c r="H264" s="2"/>
      <c r="I264">
        <f t="shared" si="66"/>
        <v>0.99201030096286102</v>
      </c>
      <c r="J264" s="3">
        <f t="shared" si="70"/>
        <v>-108.42434339542979</v>
      </c>
      <c r="K264" s="2"/>
      <c r="L264">
        <f t="shared" si="67"/>
        <v>0.95521919846873415</v>
      </c>
      <c r="M264" s="3">
        <f t="shared" si="71"/>
        <v>-105.81321671007959</v>
      </c>
      <c r="N264" s="2"/>
      <c r="O264">
        <f t="shared" si="68"/>
        <v>0.96954138137352242</v>
      </c>
      <c r="P264" s="4">
        <f t="shared" si="72"/>
        <v>-259.85390721439876</v>
      </c>
      <c r="Q264" s="4"/>
    </row>
    <row r="265" spans="5:17" x14ac:dyDescent="0.3">
      <c r="E265">
        <f t="shared" si="65"/>
        <v>0.91685676717461173</v>
      </c>
      <c r="F265" s="3">
        <f t="shared" si="69"/>
        <v>-135.56752527287063</v>
      </c>
      <c r="G265" s="3"/>
      <c r="H265" s="2"/>
      <c r="I265">
        <f t="shared" si="66"/>
        <v>0.99201030096286102</v>
      </c>
      <c r="J265" s="3">
        <f t="shared" si="70"/>
        <v>-85.424343395429787</v>
      </c>
      <c r="K265" s="2"/>
      <c r="L265">
        <f t="shared" si="67"/>
        <v>0.95521919846873415</v>
      </c>
      <c r="M265" s="3">
        <f t="shared" si="71"/>
        <v>-82.813216710079587</v>
      </c>
      <c r="N265" s="2"/>
      <c r="O265">
        <f t="shared" si="68"/>
        <v>0.96954138137352242</v>
      </c>
      <c r="P265" s="4">
        <f t="shared" si="72"/>
        <v>-236.85390721439876</v>
      </c>
      <c r="Q265" s="4"/>
    </row>
    <row r="266" spans="5:17" x14ac:dyDescent="0.3">
      <c r="E266">
        <f t="shared" si="65"/>
        <v>0.91685676717461173</v>
      </c>
      <c r="F266" s="3">
        <f t="shared" si="69"/>
        <v>-138.56752527287063</v>
      </c>
      <c r="G266" s="3"/>
      <c r="H266" s="2"/>
      <c r="I266">
        <f t="shared" si="66"/>
        <v>0.99201030096286102</v>
      </c>
      <c r="J266" s="3">
        <f t="shared" si="70"/>
        <v>-88.424343395429787</v>
      </c>
      <c r="K266" s="2"/>
      <c r="L266">
        <f t="shared" si="67"/>
        <v>0.95521919846873415</v>
      </c>
      <c r="M266" s="3">
        <f t="shared" si="71"/>
        <v>-85.813216710079587</v>
      </c>
      <c r="N266" s="2"/>
      <c r="O266">
        <f t="shared" si="68"/>
        <v>0.96954138137352242</v>
      </c>
      <c r="P266" s="4">
        <f t="shared" si="72"/>
        <v>-239.85390721439876</v>
      </c>
      <c r="Q266" s="4"/>
    </row>
    <row r="267" spans="5:17" x14ac:dyDescent="0.3">
      <c r="E267">
        <f t="shared" si="65"/>
        <v>1.8337135343492235</v>
      </c>
      <c r="F267" s="3">
        <f t="shared" si="69"/>
        <v>-13.88573082607407</v>
      </c>
      <c r="G267" s="3"/>
      <c r="H267" s="2"/>
      <c r="I267">
        <f t="shared" si="66"/>
        <v>1.984020601925722</v>
      </c>
      <c r="J267" s="3">
        <f t="shared" si="70"/>
        <v>-1.4093631327403102</v>
      </c>
      <c r="K267" s="2"/>
      <c r="L267">
        <f t="shared" si="67"/>
        <v>1.9104383969374683</v>
      </c>
      <c r="M267" s="3">
        <f t="shared" si="71"/>
        <v>-2.9924797465167563</v>
      </c>
      <c r="N267" s="2"/>
      <c r="O267">
        <f t="shared" si="68"/>
        <v>1.9390827627470448</v>
      </c>
      <c r="P267" s="4">
        <f t="shared" si="72"/>
        <v>3.9746936133080144</v>
      </c>
      <c r="Q267" s="4"/>
    </row>
    <row r="268" spans="5:17" x14ac:dyDescent="0.3">
      <c r="E268">
        <f t="shared" si="65"/>
        <v>1.8337135343492235</v>
      </c>
      <c r="F268" s="3">
        <f t="shared" si="69"/>
        <v>67.114269173925933</v>
      </c>
      <c r="G268" s="3"/>
      <c r="H268" s="2"/>
      <c r="I268">
        <f t="shared" si="66"/>
        <v>1.984020601925722</v>
      </c>
      <c r="J268" s="3">
        <f t="shared" si="70"/>
        <v>79.59063686725969</v>
      </c>
      <c r="K268" s="2"/>
      <c r="L268">
        <f t="shared" si="67"/>
        <v>1.9104383969374683</v>
      </c>
      <c r="M268" s="3">
        <f t="shared" si="71"/>
        <v>78.00752025348325</v>
      </c>
      <c r="N268" s="2"/>
      <c r="O268">
        <f t="shared" si="68"/>
        <v>1.9390827627470448</v>
      </c>
      <c r="P268" s="4">
        <f t="shared" si="72"/>
        <v>84.97469361330802</v>
      </c>
      <c r="Q268" s="4"/>
    </row>
    <row r="269" spans="5:17" x14ac:dyDescent="0.3">
      <c r="E269">
        <f t="shared" si="65"/>
        <v>1.8337135343492235</v>
      </c>
      <c r="F269" s="3">
        <f t="shared" si="69"/>
        <v>-14.88573082607407</v>
      </c>
      <c r="G269" s="3"/>
      <c r="H269" s="2"/>
      <c r="I269">
        <f t="shared" si="66"/>
        <v>1.984020601925722</v>
      </c>
      <c r="J269" s="3">
        <f t="shared" si="70"/>
        <v>-2.4093631327403102</v>
      </c>
      <c r="K269" s="2"/>
      <c r="L269">
        <f t="shared" si="67"/>
        <v>1.9104383969374683</v>
      </c>
      <c r="M269" s="3">
        <f t="shared" si="71"/>
        <v>-3.9924797465167563</v>
      </c>
      <c r="N269" s="2"/>
      <c r="O269">
        <f t="shared" si="68"/>
        <v>1.9390827627470448</v>
      </c>
      <c r="P269" s="4">
        <f t="shared" si="72"/>
        <v>2.9746936133080144</v>
      </c>
      <c r="Q269" s="4"/>
    </row>
    <row r="270" spans="5:17" x14ac:dyDescent="0.3">
      <c r="E270">
        <f t="shared" si="65"/>
        <v>1.8337135343492235</v>
      </c>
      <c r="F270" s="3">
        <f t="shared" si="69"/>
        <v>4.1142691739259298</v>
      </c>
      <c r="G270" s="3"/>
      <c r="H270" s="2"/>
      <c r="I270">
        <f t="shared" si="66"/>
        <v>1.984020601925722</v>
      </c>
      <c r="J270" s="3">
        <f t="shared" si="70"/>
        <v>16.59063686725969</v>
      </c>
      <c r="K270" s="2"/>
      <c r="L270">
        <f t="shared" si="67"/>
        <v>1.9104383969374683</v>
      </c>
      <c r="M270" s="3">
        <f t="shared" si="71"/>
        <v>15.007520253483243</v>
      </c>
      <c r="N270" s="2"/>
      <c r="O270">
        <f t="shared" si="68"/>
        <v>1.9390827627470448</v>
      </c>
      <c r="P270" s="4">
        <f t="shared" si="72"/>
        <v>21.974693613308013</v>
      </c>
      <c r="Q270" s="4"/>
    </row>
    <row r="271" spans="5:17" x14ac:dyDescent="0.3">
      <c r="E271">
        <f t="shared" si="65"/>
        <v>1.8337135343492235</v>
      </c>
      <c r="F271" s="3">
        <f t="shared" si="69"/>
        <v>37.114269173925933</v>
      </c>
      <c r="G271" s="3"/>
      <c r="H271" s="2"/>
      <c r="I271">
        <f t="shared" si="66"/>
        <v>1.984020601925722</v>
      </c>
      <c r="J271" s="3">
        <f t="shared" si="70"/>
        <v>49.59063686725969</v>
      </c>
      <c r="K271" s="2"/>
      <c r="L271">
        <f t="shared" si="67"/>
        <v>1.9104383969374683</v>
      </c>
      <c r="M271" s="3">
        <f t="shared" si="71"/>
        <v>48.007520253483243</v>
      </c>
      <c r="N271" s="2"/>
      <c r="O271">
        <f t="shared" si="68"/>
        <v>1.9390827627470448</v>
      </c>
      <c r="P271" s="4">
        <f t="shared" si="72"/>
        <v>54.974693613308013</v>
      </c>
      <c r="Q271" s="4"/>
    </row>
    <row r="272" spans="5:17" x14ac:dyDescent="0.3">
      <c r="E272">
        <f t="shared" si="65"/>
        <v>3.6674270686984469</v>
      </c>
      <c r="F272" s="3">
        <f t="shared" si="69"/>
        <v>-0.24024572561931268</v>
      </c>
      <c r="G272" s="3"/>
      <c r="H272" s="2"/>
      <c r="I272">
        <f t="shared" si="66"/>
        <v>3.9680412038514441</v>
      </c>
      <c r="J272" s="3">
        <f t="shared" si="70"/>
        <v>-2.8382911020661823E-2</v>
      </c>
      <c r="K272" s="2"/>
      <c r="L272">
        <f t="shared" si="67"/>
        <v>3.8208767938749366</v>
      </c>
      <c r="M272" s="3">
        <f t="shared" si="71"/>
        <v>-4.8315241080605802E-2</v>
      </c>
      <c r="N272" s="2"/>
      <c r="O272">
        <f t="shared" si="68"/>
        <v>3.8781655254940897</v>
      </c>
      <c r="P272" s="4">
        <f t="shared" si="72"/>
        <v>-9.3175246794627751E-12</v>
      </c>
      <c r="Q272" s="4"/>
    </row>
    <row r="273" spans="5:17" x14ac:dyDescent="0.3">
      <c r="E273">
        <f t="shared" si="65"/>
        <v>3.6674270686984469</v>
      </c>
      <c r="F273" s="3">
        <f t="shared" si="69"/>
        <v>-0.24024572561931268</v>
      </c>
      <c r="G273" s="3"/>
      <c r="H273" s="2"/>
      <c r="I273">
        <f t="shared" si="66"/>
        <v>3.9680412038514441</v>
      </c>
      <c r="J273" s="3">
        <f t="shared" si="70"/>
        <v>-2.8382911020661823E-2</v>
      </c>
      <c r="K273" s="2"/>
      <c r="L273">
        <f t="shared" si="67"/>
        <v>3.8208767938749366</v>
      </c>
      <c r="M273" s="3">
        <f t="shared" si="71"/>
        <v>-4.8315241080605802E-2</v>
      </c>
      <c r="N273" s="2"/>
      <c r="O273">
        <f t="shared" si="68"/>
        <v>3.8781655254940897</v>
      </c>
      <c r="P273" s="4">
        <f t="shared" si="72"/>
        <v>-9.3175246794627751E-12</v>
      </c>
      <c r="Q273" s="4"/>
    </row>
    <row r="274" spans="5:17" x14ac:dyDescent="0.3">
      <c r="E274">
        <f t="shared" si="65"/>
        <v>3.6674270686984469</v>
      </c>
      <c r="F274" s="3">
        <f t="shared" si="69"/>
        <v>64.759754274380683</v>
      </c>
      <c r="G274" s="3"/>
      <c r="H274" s="2"/>
      <c r="I274">
        <f t="shared" si="66"/>
        <v>3.9680412038514441</v>
      </c>
      <c r="J274" s="3">
        <f t="shared" si="70"/>
        <v>64.971617088979343</v>
      </c>
      <c r="K274" s="2"/>
      <c r="L274">
        <f t="shared" si="67"/>
        <v>3.8208767938749366</v>
      </c>
      <c r="M274" s="3">
        <f t="shared" si="71"/>
        <v>64.951684758919399</v>
      </c>
      <c r="N274" s="2"/>
      <c r="O274">
        <f t="shared" si="68"/>
        <v>3.8781655254940897</v>
      </c>
      <c r="P274" s="4">
        <f t="shared" si="72"/>
        <v>64.999999999990678</v>
      </c>
      <c r="Q274" s="4"/>
    </row>
    <row r="275" spans="5:17" x14ac:dyDescent="0.3">
      <c r="E275">
        <f t="shared" si="65"/>
        <v>3.6674270686984469</v>
      </c>
      <c r="F275" s="3">
        <f t="shared" si="69"/>
        <v>-0.24024572561931268</v>
      </c>
      <c r="G275" s="3"/>
      <c r="H275" s="2"/>
      <c r="I275">
        <f t="shared" si="66"/>
        <v>3.9680412038514441</v>
      </c>
      <c r="J275" s="3">
        <f t="shared" si="70"/>
        <v>-2.8382911020661823E-2</v>
      </c>
      <c r="K275" s="2"/>
      <c r="L275">
        <f t="shared" si="67"/>
        <v>3.8208767938749366</v>
      </c>
      <c r="M275" s="3">
        <f t="shared" si="71"/>
        <v>-4.8315241080605802E-2</v>
      </c>
      <c r="N275" s="2"/>
      <c r="O275">
        <f t="shared" si="68"/>
        <v>3.8781655254940897</v>
      </c>
      <c r="P275" s="4">
        <f t="shared" si="72"/>
        <v>-9.3175246794627751E-12</v>
      </c>
      <c r="Q275" s="4"/>
    </row>
    <row r="276" spans="5:17" x14ac:dyDescent="0.3">
      <c r="E276">
        <f t="shared" si="65"/>
        <v>3.6674270686984469</v>
      </c>
      <c r="F276" s="3">
        <f t="shared" si="69"/>
        <v>-0.24024572561931268</v>
      </c>
      <c r="G276" s="3"/>
      <c r="H276" s="2"/>
      <c r="I276">
        <f t="shared" si="66"/>
        <v>3.9680412038514441</v>
      </c>
      <c r="J276" s="3">
        <f t="shared" si="70"/>
        <v>-2.8382911020661823E-2</v>
      </c>
      <c r="K276" s="2"/>
      <c r="L276">
        <f t="shared" si="67"/>
        <v>3.8208767938749366</v>
      </c>
      <c r="M276" s="3">
        <f t="shared" si="71"/>
        <v>-4.8315241080605802E-2</v>
      </c>
      <c r="N276" s="2"/>
      <c r="O276">
        <f t="shared" si="68"/>
        <v>3.8781655254940897</v>
      </c>
      <c r="P276" s="4">
        <f t="shared" si="72"/>
        <v>-9.3175246794627751E-12</v>
      </c>
      <c r="Q276" s="4"/>
    </row>
    <row r="277" spans="5:17" x14ac:dyDescent="0.3">
      <c r="E277">
        <f t="shared" si="65"/>
        <v>0.15364279452910198</v>
      </c>
      <c r="F277" s="3">
        <f t="shared" si="69"/>
        <v>17.717181810268812</v>
      </c>
      <c r="G277" s="3"/>
      <c r="H277" s="2"/>
      <c r="I277">
        <f t="shared" si="66"/>
        <v>0.16616838349381022</v>
      </c>
      <c r="J277" s="3">
        <f t="shared" si="70"/>
        <v>17.965572700502662</v>
      </c>
      <c r="K277" s="2"/>
      <c r="L277">
        <f t="shared" si="67"/>
        <v>0.16003653307863483</v>
      </c>
      <c r="M277" s="3">
        <f t="shared" si="71"/>
        <v>18.83963250204215</v>
      </c>
      <c r="N277" s="2"/>
      <c r="O277">
        <f t="shared" si="68"/>
        <v>0.16242356356225376</v>
      </c>
      <c r="P277" s="4">
        <f t="shared" si="72"/>
        <v>25.929113857231641</v>
      </c>
      <c r="Q277" s="4"/>
    </row>
    <row r="278" spans="5:17" x14ac:dyDescent="0.3">
      <c r="E278">
        <f t="shared" si="65"/>
        <v>0.15364279452910198</v>
      </c>
      <c r="F278" s="3">
        <f t="shared" si="69"/>
        <v>-28.282818189731188</v>
      </c>
      <c r="G278" s="3"/>
      <c r="H278" s="2"/>
      <c r="I278">
        <f t="shared" si="66"/>
        <v>0.16616838349381022</v>
      </c>
      <c r="J278" s="3">
        <f t="shared" si="70"/>
        <v>-28.034427299497338</v>
      </c>
      <c r="K278" s="2"/>
      <c r="L278">
        <f t="shared" si="67"/>
        <v>0.16003653307863483</v>
      </c>
      <c r="M278" s="3">
        <f t="shared" si="71"/>
        <v>-27.16036749795785</v>
      </c>
      <c r="N278" s="2"/>
      <c r="O278">
        <f t="shared" si="68"/>
        <v>0.16242356356225376</v>
      </c>
      <c r="P278" s="4">
        <f t="shared" si="72"/>
        <v>-20.070886142768359</v>
      </c>
      <c r="Q278" s="4"/>
    </row>
    <row r="279" spans="5:17" x14ac:dyDescent="0.3">
      <c r="E279">
        <f t="shared" si="65"/>
        <v>0.15364279452910198</v>
      </c>
      <c r="F279" s="3">
        <f t="shared" si="69"/>
        <v>-32.282818189731188</v>
      </c>
      <c r="G279" s="3"/>
      <c r="H279" s="2"/>
      <c r="I279">
        <f t="shared" si="66"/>
        <v>0.16616838349381022</v>
      </c>
      <c r="J279" s="3">
        <f t="shared" si="70"/>
        <v>-32.034427299497338</v>
      </c>
      <c r="K279" s="2"/>
      <c r="L279">
        <f t="shared" si="67"/>
        <v>0.16003653307863483</v>
      </c>
      <c r="M279" s="3">
        <f t="shared" si="71"/>
        <v>-31.16036749795785</v>
      </c>
      <c r="N279" s="2"/>
      <c r="O279">
        <f t="shared" si="68"/>
        <v>0.16242356356225376</v>
      </c>
      <c r="P279" s="4">
        <f t="shared" si="72"/>
        <v>-24.070886142768359</v>
      </c>
      <c r="Q279" s="4"/>
    </row>
    <row r="280" spans="5:17" x14ac:dyDescent="0.3">
      <c r="E280">
        <f t="shared" si="65"/>
        <v>0.15364279452910198</v>
      </c>
      <c r="F280" s="3">
        <f t="shared" si="69"/>
        <v>98.717181810268812</v>
      </c>
      <c r="G280" s="3"/>
      <c r="H280" s="2"/>
      <c r="I280">
        <f t="shared" si="66"/>
        <v>0.16616838349381022</v>
      </c>
      <c r="J280" s="3">
        <f t="shared" si="70"/>
        <v>98.965572700502662</v>
      </c>
      <c r="K280" s="2"/>
      <c r="L280">
        <f t="shared" si="67"/>
        <v>0.16003653307863483</v>
      </c>
      <c r="M280" s="3">
        <f t="shared" si="71"/>
        <v>99.83963250204215</v>
      </c>
      <c r="N280" s="2"/>
      <c r="O280">
        <f t="shared" si="68"/>
        <v>0.16242356356225376</v>
      </c>
      <c r="P280" s="4">
        <f t="shared" si="72"/>
        <v>106.92911385723164</v>
      </c>
      <c r="Q280" s="4"/>
    </row>
    <row r="281" spans="5:17" x14ac:dyDescent="0.3">
      <c r="E281">
        <f t="shared" si="65"/>
        <v>0.15364279452910198</v>
      </c>
      <c r="F281" s="3">
        <f t="shared" si="69"/>
        <v>-69.282818189731188</v>
      </c>
      <c r="G281" s="3"/>
      <c r="H281" s="2"/>
      <c r="I281">
        <f t="shared" si="66"/>
        <v>0.16616838349381022</v>
      </c>
      <c r="J281" s="3">
        <f t="shared" si="70"/>
        <v>-69.034427299497338</v>
      </c>
      <c r="K281" s="2"/>
      <c r="L281">
        <f t="shared" si="67"/>
        <v>0.16003653307863483</v>
      </c>
      <c r="M281" s="3">
        <f t="shared" si="71"/>
        <v>-68.16036749795785</v>
      </c>
      <c r="N281" s="2"/>
      <c r="O281">
        <f t="shared" si="68"/>
        <v>0.16242356356225376</v>
      </c>
      <c r="P281" s="4">
        <f t="shared" si="72"/>
        <v>-61.070886142768359</v>
      </c>
      <c r="Q281" s="4"/>
    </row>
    <row r="282" spans="5:17" x14ac:dyDescent="0.3">
      <c r="E282">
        <f t="shared" si="65"/>
        <v>0.30728558905820397</v>
      </c>
      <c r="F282" s="3">
        <f t="shared" si="69"/>
        <v>4.6412441410825522</v>
      </c>
      <c r="G282" s="3"/>
      <c r="H282" s="2"/>
      <c r="I282">
        <f t="shared" si="66"/>
        <v>0.33233676698762044</v>
      </c>
      <c r="J282" s="3">
        <f t="shared" si="70"/>
        <v>4.1481720448368833</v>
      </c>
      <c r="K282" s="2"/>
      <c r="L282">
        <f t="shared" si="67"/>
        <v>0.32007306615726966</v>
      </c>
      <c r="M282" s="3">
        <f t="shared" si="71"/>
        <v>6.307340493465972</v>
      </c>
      <c r="N282" s="2"/>
      <c r="O282">
        <f t="shared" si="68"/>
        <v>0.32484712712450753</v>
      </c>
      <c r="P282" s="4">
        <f t="shared" si="72"/>
        <v>7.8520454073752717</v>
      </c>
      <c r="Q282" s="4"/>
    </row>
    <row r="283" spans="5:17" x14ac:dyDescent="0.3">
      <c r="E283">
        <f t="shared" si="65"/>
        <v>0.30728558905820397</v>
      </c>
      <c r="F283" s="3">
        <f t="shared" si="69"/>
        <v>-37.358755858917448</v>
      </c>
      <c r="G283" s="3"/>
      <c r="H283" s="2"/>
      <c r="I283">
        <f t="shared" si="66"/>
        <v>0.33233676698762044</v>
      </c>
      <c r="J283" s="3">
        <f t="shared" si="70"/>
        <v>-37.851827955163117</v>
      </c>
      <c r="K283" s="2"/>
      <c r="L283">
        <f t="shared" si="67"/>
        <v>0.32007306615726966</v>
      </c>
      <c r="M283" s="3">
        <f t="shared" si="71"/>
        <v>-35.692659506534028</v>
      </c>
      <c r="N283" s="2"/>
      <c r="O283">
        <f t="shared" si="68"/>
        <v>0.32484712712450753</v>
      </c>
      <c r="P283" s="4">
        <f t="shared" si="72"/>
        <v>-34.147954592624728</v>
      </c>
      <c r="Q283" s="4"/>
    </row>
    <row r="284" spans="5:17" x14ac:dyDescent="0.3">
      <c r="E284">
        <f t="shared" si="65"/>
        <v>0.30728558905820397</v>
      </c>
      <c r="F284" s="3">
        <f t="shared" si="69"/>
        <v>-112.35875585891745</v>
      </c>
      <c r="G284" s="3"/>
      <c r="H284" s="2"/>
      <c r="I284">
        <f t="shared" si="66"/>
        <v>0.33233676698762044</v>
      </c>
      <c r="J284" s="3">
        <f t="shared" si="70"/>
        <v>-112.85182795516312</v>
      </c>
      <c r="K284" s="2"/>
      <c r="L284">
        <f t="shared" si="67"/>
        <v>0.32007306615726966</v>
      </c>
      <c r="M284" s="3">
        <f t="shared" si="71"/>
        <v>-110.69265950653403</v>
      </c>
      <c r="N284" s="2"/>
      <c r="O284">
        <f t="shared" si="68"/>
        <v>0.32484712712450753</v>
      </c>
      <c r="P284" s="4">
        <f t="shared" si="72"/>
        <v>-109.14795459262473</v>
      </c>
    </row>
    <row r="285" spans="5:17" x14ac:dyDescent="0.3">
      <c r="E285">
        <f t="shared" si="65"/>
        <v>0.30728558905820397</v>
      </c>
      <c r="F285" s="3">
        <f t="shared" si="69"/>
        <v>26.641244141082552</v>
      </c>
      <c r="G285" s="3"/>
      <c r="H285" s="2"/>
      <c r="I285">
        <f t="shared" si="66"/>
        <v>0.33233676698762044</v>
      </c>
      <c r="J285" s="3">
        <f t="shared" si="70"/>
        <v>26.148172044836883</v>
      </c>
      <c r="K285" s="2"/>
      <c r="L285">
        <f t="shared" si="67"/>
        <v>0.32007306615726966</v>
      </c>
      <c r="M285" s="3">
        <f t="shared" si="71"/>
        <v>28.307340493465972</v>
      </c>
      <c r="N285" s="2"/>
      <c r="O285">
        <f t="shared" si="68"/>
        <v>0.32484712712450753</v>
      </c>
      <c r="P285" s="4">
        <f t="shared" si="72"/>
        <v>29.852045407375272</v>
      </c>
    </row>
    <row r="286" spans="5:17" x14ac:dyDescent="0.3">
      <c r="E286">
        <f t="shared" si="65"/>
        <v>0.30728558905820397</v>
      </c>
      <c r="F286" s="3">
        <f t="shared" si="69"/>
        <v>124.64124414108255</v>
      </c>
      <c r="G286" s="3"/>
      <c r="H286" s="2"/>
      <c r="I286">
        <f t="shared" si="66"/>
        <v>0.33233676698762044</v>
      </c>
      <c r="J286" s="3">
        <f t="shared" si="70"/>
        <v>124.14817204483688</v>
      </c>
      <c r="K286" s="2"/>
      <c r="L286">
        <f t="shared" si="67"/>
        <v>0.32007306615726966</v>
      </c>
      <c r="M286" s="3">
        <f t="shared" si="71"/>
        <v>126.30734049346597</v>
      </c>
      <c r="N286" s="2"/>
      <c r="O286">
        <f t="shared" si="68"/>
        <v>0.32484712712450753</v>
      </c>
      <c r="P286" s="4">
        <f t="shared" si="72"/>
        <v>127.85204540737527</v>
      </c>
    </row>
    <row r="287" spans="5:17" x14ac:dyDescent="0.3">
      <c r="E287">
        <f t="shared" si="65"/>
        <v>0.61457117811640793</v>
      </c>
      <c r="F287" s="3">
        <f t="shared" si="69"/>
        <v>45.669795722008303</v>
      </c>
      <c r="G287" s="3"/>
      <c r="H287" s="2"/>
      <c r="I287">
        <f t="shared" si="66"/>
        <v>0.66467353397524087</v>
      </c>
      <c r="J287" s="3">
        <f t="shared" si="70"/>
        <v>41.0440713394878</v>
      </c>
      <c r="K287" s="2"/>
      <c r="L287">
        <f t="shared" si="67"/>
        <v>0.64014613231453932</v>
      </c>
      <c r="M287" s="3">
        <f t="shared" si="71"/>
        <v>50.370972065152046</v>
      </c>
      <c r="N287" s="2"/>
      <c r="O287">
        <f t="shared" si="68"/>
        <v>0.64969425424901506</v>
      </c>
      <c r="P287" s="4">
        <f t="shared" si="72"/>
        <v>26.446655239772326</v>
      </c>
    </row>
    <row r="288" spans="5:17" x14ac:dyDescent="0.3">
      <c r="E288">
        <f t="shared" si="65"/>
        <v>0.61457117811640793</v>
      </c>
      <c r="F288" s="3">
        <f t="shared" si="69"/>
        <v>-34.330204277991697</v>
      </c>
      <c r="G288" s="3"/>
      <c r="H288" s="2"/>
      <c r="I288">
        <f t="shared" si="66"/>
        <v>0.66467353397524087</v>
      </c>
      <c r="J288" s="3">
        <f t="shared" si="70"/>
        <v>-38.9559286605122</v>
      </c>
      <c r="K288" s="2"/>
      <c r="L288">
        <f t="shared" si="67"/>
        <v>0.64014613231453932</v>
      </c>
      <c r="M288" s="3">
        <f t="shared" si="71"/>
        <v>-29.629027934847954</v>
      </c>
      <c r="N288" s="2"/>
      <c r="O288">
        <f t="shared" si="68"/>
        <v>0.64969425424901506</v>
      </c>
      <c r="P288" s="4">
        <f t="shared" si="72"/>
        <v>-53.553344760227674</v>
      </c>
    </row>
    <row r="289" spans="5:16" x14ac:dyDescent="0.3">
      <c r="E289">
        <f t="shared" si="65"/>
        <v>0.61457117811640793</v>
      </c>
      <c r="F289" s="3">
        <f t="shared" si="69"/>
        <v>54.669795722008303</v>
      </c>
      <c r="G289" s="3"/>
      <c r="H289" s="2"/>
      <c r="I289">
        <f t="shared" si="66"/>
        <v>0.66467353397524087</v>
      </c>
      <c r="J289" s="3">
        <f t="shared" si="70"/>
        <v>50.0440713394878</v>
      </c>
      <c r="K289" s="2"/>
      <c r="L289">
        <f t="shared" si="67"/>
        <v>0.64014613231453932</v>
      </c>
      <c r="M289" s="3">
        <f t="shared" si="71"/>
        <v>59.370972065152046</v>
      </c>
      <c r="N289" s="2"/>
      <c r="O289">
        <f t="shared" si="68"/>
        <v>0.64969425424901506</v>
      </c>
      <c r="P289" s="4">
        <f t="shared" si="72"/>
        <v>35.446655239772326</v>
      </c>
    </row>
    <row r="290" spans="5:16" x14ac:dyDescent="0.3">
      <c r="E290">
        <f t="shared" si="65"/>
        <v>0.61457117811640793</v>
      </c>
      <c r="F290" s="3">
        <f t="shared" si="69"/>
        <v>25.669795722008303</v>
      </c>
      <c r="G290" s="3"/>
      <c r="H290" s="2"/>
      <c r="I290">
        <f t="shared" si="66"/>
        <v>0.66467353397524087</v>
      </c>
      <c r="J290" s="3">
        <f t="shared" si="70"/>
        <v>21.0440713394878</v>
      </c>
      <c r="K290" s="2"/>
      <c r="L290">
        <f t="shared" si="67"/>
        <v>0.64014613231453932</v>
      </c>
      <c r="M290" s="3">
        <f t="shared" si="71"/>
        <v>30.370972065152046</v>
      </c>
      <c r="N290" s="2"/>
      <c r="O290">
        <f t="shared" si="68"/>
        <v>0.64969425424901506</v>
      </c>
      <c r="P290" s="4">
        <f t="shared" si="72"/>
        <v>6.4466552397723262</v>
      </c>
    </row>
    <row r="291" spans="5:16" x14ac:dyDescent="0.3">
      <c r="E291">
        <f t="shared" si="65"/>
        <v>0.61457117811640793</v>
      </c>
      <c r="F291" s="3">
        <f t="shared" ref="F291:F316" si="73">C199-E199</f>
        <v>-83.330204277991697</v>
      </c>
      <c r="G291" s="3"/>
      <c r="H291" s="2"/>
      <c r="I291">
        <f t="shared" si="66"/>
        <v>0.66467353397524087</v>
      </c>
      <c r="J291" s="3">
        <f t="shared" ref="J291:J316" si="74">C199-I199</f>
        <v>-87.9559286605122</v>
      </c>
      <c r="K291" s="2"/>
      <c r="L291">
        <f t="shared" si="67"/>
        <v>0.64014613231453932</v>
      </c>
      <c r="M291" s="3">
        <f t="shared" ref="M291:M316" si="75">C199-L199</f>
        <v>-78.629027934847954</v>
      </c>
      <c r="N291" s="2"/>
      <c r="O291">
        <f t="shared" si="68"/>
        <v>0.64969425424901506</v>
      </c>
      <c r="P291" s="4">
        <f t="shared" ref="P291:P316" si="76">C199-O199</f>
        <v>-102.55334476022767</v>
      </c>
    </row>
    <row r="292" spans="5:16" x14ac:dyDescent="0.3">
      <c r="E292">
        <f t="shared" ref="E292:E316" si="77">(A200/$E$5)+(B200/$E$6)</f>
        <v>1.2291423562328159</v>
      </c>
      <c r="F292" s="3">
        <f t="shared" si="73"/>
        <v>4.463775951785891</v>
      </c>
      <c r="G292" s="3"/>
      <c r="H292" s="2"/>
      <c r="I292">
        <f t="shared" ref="I292:I316" si="78">(A200/$I$5)+(B200/$I$6)</f>
        <v>1.3293470679504817</v>
      </c>
      <c r="J292" s="3">
        <f t="shared" si="74"/>
        <v>41.929465609408084</v>
      </c>
      <c r="K292" s="2"/>
      <c r="L292">
        <f t="shared" ref="L292:L316" si="79">(A200/$L$5)+(B200/$L$6)</f>
        <v>1.2802922646290786</v>
      </c>
      <c r="M292" s="3">
        <f t="shared" si="75"/>
        <v>70.880784527971258</v>
      </c>
      <c r="N292" s="2"/>
      <c r="O292">
        <f t="shared" ref="O292:O316" si="80">(A200/$O$5)+(B200/$O$6)</f>
        <v>1.2993885084980301</v>
      </c>
      <c r="P292" s="4">
        <f t="shared" si="76"/>
        <v>-16.424054738928021</v>
      </c>
    </row>
    <row r="293" spans="5:16" x14ac:dyDescent="0.3">
      <c r="E293">
        <f t="shared" si="77"/>
        <v>1.2291423562328159</v>
      </c>
      <c r="F293" s="3">
        <f t="shared" si="73"/>
        <v>-78.536224048214109</v>
      </c>
      <c r="G293" s="3"/>
      <c r="H293" s="2"/>
      <c r="I293">
        <f t="shared" si="78"/>
        <v>1.3293470679504817</v>
      </c>
      <c r="J293" s="3">
        <f t="shared" si="74"/>
        <v>-41.070534390591916</v>
      </c>
      <c r="K293" s="2"/>
      <c r="L293">
        <f t="shared" si="79"/>
        <v>1.2802922646290786</v>
      </c>
      <c r="M293" s="3">
        <f t="shared" si="75"/>
        <v>-12.119215472028742</v>
      </c>
      <c r="N293" s="2"/>
      <c r="O293">
        <f t="shared" si="80"/>
        <v>1.2993885084980301</v>
      </c>
      <c r="P293" s="4">
        <f t="shared" si="76"/>
        <v>-99.424054738928021</v>
      </c>
    </row>
    <row r="294" spans="5:16" x14ac:dyDescent="0.3">
      <c r="E294">
        <f t="shared" si="77"/>
        <v>1.2291423562328159</v>
      </c>
      <c r="F294" s="3">
        <f t="shared" si="73"/>
        <v>19.463775951785891</v>
      </c>
      <c r="G294" s="3"/>
      <c r="H294" s="2"/>
      <c r="I294">
        <f t="shared" si="78"/>
        <v>1.3293470679504817</v>
      </c>
      <c r="J294" s="3">
        <f t="shared" si="74"/>
        <v>56.929465609408084</v>
      </c>
      <c r="K294" s="2"/>
      <c r="L294">
        <f t="shared" si="79"/>
        <v>1.2802922646290786</v>
      </c>
      <c r="M294" s="3">
        <f t="shared" si="75"/>
        <v>85.880784527971258</v>
      </c>
      <c r="N294" s="2"/>
      <c r="O294">
        <f t="shared" si="80"/>
        <v>1.2993885084980301</v>
      </c>
      <c r="P294" s="4">
        <f t="shared" si="76"/>
        <v>-1.4240547389280209</v>
      </c>
    </row>
    <row r="295" spans="5:16" x14ac:dyDescent="0.3">
      <c r="E295">
        <f t="shared" si="77"/>
        <v>1.2291423562328159</v>
      </c>
      <c r="F295" s="3">
        <f t="shared" si="73"/>
        <v>29.463775951785891</v>
      </c>
      <c r="G295" s="3"/>
      <c r="H295" s="2"/>
      <c r="I295">
        <f t="shared" si="78"/>
        <v>1.3293470679504817</v>
      </c>
      <c r="J295" s="3">
        <f t="shared" si="74"/>
        <v>66.929465609408084</v>
      </c>
      <c r="K295" s="2"/>
      <c r="L295">
        <f t="shared" si="79"/>
        <v>1.2802922646290786</v>
      </c>
      <c r="M295" s="3">
        <f t="shared" si="75"/>
        <v>95.880784527971258</v>
      </c>
      <c r="N295" s="2"/>
      <c r="O295">
        <f t="shared" si="80"/>
        <v>1.2993885084980301</v>
      </c>
      <c r="P295" s="4">
        <f t="shared" si="76"/>
        <v>8.5759452610719791</v>
      </c>
    </row>
    <row r="296" spans="5:16" x14ac:dyDescent="0.3">
      <c r="E296">
        <f t="shared" si="77"/>
        <v>1.2291423562328159</v>
      </c>
      <c r="F296" s="3">
        <f t="shared" si="73"/>
        <v>-113.53622404821411</v>
      </c>
      <c r="G296" s="3"/>
      <c r="H296" s="2"/>
      <c r="I296">
        <f t="shared" si="78"/>
        <v>1.3293470679504817</v>
      </c>
      <c r="J296" s="3">
        <f t="shared" si="74"/>
        <v>-76.070534390591916</v>
      </c>
      <c r="K296" s="2"/>
      <c r="L296">
        <f t="shared" si="79"/>
        <v>1.2802922646290786</v>
      </c>
      <c r="M296" s="3">
        <f t="shared" si="75"/>
        <v>-47.119215472028742</v>
      </c>
      <c r="N296" s="2"/>
      <c r="O296">
        <f t="shared" si="80"/>
        <v>1.2993885084980301</v>
      </c>
      <c r="P296" s="4">
        <f t="shared" si="76"/>
        <v>-134.42405473892802</v>
      </c>
    </row>
    <row r="297" spans="5:16" x14ac:dyDescent="0.3">
      <c r="E297">
        <f t="shared" si="77"/>
        <v>2.4582847124656317</v>
      </c>
      <c r="F297" s="3">
        <f t="shared" si="73"/>
        <v>0.98146394835247275</v>
      </c>
      <c r="G297" s="3"/>
      <c r="H297" s="2"/>
      <c r="I297">
        <f t="shared" si="78"/>
        <v>2.6586941359009635</v>
      </c>
      <c r="J297" s="3">
        <f t="shared" si="74"/>
        <v>3.1068402651102778</v>
      </c>
      <c r="K297" s="2"/>
      <c r="L297">
        <f t="shared" si="79"/>
        <v>2.5605845292581573</v>
      </c>
      <c r="M297" s="3">
        <f t="shared" si="75"/>
        <v>3.1068492628412607</v>
      </c>
      <c r="N297" s="2"/>
      <c r="O297">
        <f t="shared" si="80"/>
        <v>2.5987770169960602</v>
      </c>
      <c r="P297" s="4">
        <f t="shared" si="76"/>
        <v>3.9999999999992832</v>
      </c>
    </row>
    <row r="298" spans="5:16" x14ac:dyDescent="0.3">
      <c r="E298">
        <f t="shared" si="77"/>
        <v>2.4582847124656317</v>
      </c>
      <c r="F298" s="3">
        <f t="shared" si="73"/>
        <v>0.98146394835247275</v>
      </c>
      <c r="G298" s="3"/>
      <c r="H298" s="2"/>
      <c r="I298">
        <f t="shared" si="78"/>
        <v>2.6586941359009635</v>
      </c>
      <c r="J298" s="3">
        <f t="shared" si="74"/>
        <v>3.1068402651102778</v>
      </c>
      <c r="K298" s="2"/>
      <c r="L298">
        <f t="shared" si="79"/>
        <v>2.5605845292581573</v>
      </c>
      <c r="M298" s="3">
        <f t="shared" si="75"/>
        <v>3.1068492628412607</v>
      </c>
      <c r="N298" s="2"/>
      <c r="O298">
        <f t="shared" si="80"/>
        <v>2.5987770169960602</v>
      </c>
      <c r="P298" s="4">
        <f t="shared" si="76"/>
        <v>3.9999999999992832</v>
      </c>
    </row>
    <row r="299" spans="5:16" x14ac:dyDescent="0.3">
      <c r="E299">
        <f t="shared" si="77"/>
        <v>2.4582847124656317</v>
      </c>
      <c r="F299" s="3">
        <f t="shared" si="73"/>
        <v>4.9814639483524727</v>
      </c>
      <c r="G299" s="3"/>
      <c r="H299" s="2"/>
      <c r="I299">
        <f t="shared" si="78"/>
        <v>2.6586941359009635</v>
      </c>
      <c r="J299" s="3">
        <f t="shared" si="74"/>
        <v>7.1068402651102778</v>
      </c>
      <c r="K299" s="2"/>
      <c r="L299">
        <f t="shared" si="79"/>
        <v>2.5605845292581573</v>
      </c>
      <c r="M299" s="3">
        <f t="shared" si="75"/>
        <v>7.1068492628412603</v>
      </c>
      <c r="N299" s="2"/>
      <c r="O299">
        <f t="shared" si="80"/>
        <v>2.5987770169960602</v>
      </c>
      <c r="P299" s="4">
        <f t="shared" si="76"/>
        <v>7.9999999999992832</v>
      </c>
    </row>
    <row r="300" spans="5:16" x14ac:dyDescent="0.3">
      <c r="E300">
        <f t="shared" si="77"/>
        <v>2.4582847124656317</v>
      </c>
      <c r="F300" s="3">
        <f t="shared" si="73"/>
        <v>-1.8536051647527252E-2</v>
      </c>
      <c r="G300" s="3"/>
      <c r="H300" s="2"/>
      <c r="I300">
        <f t="shared" si="78"/>
        <v>2.6586941359009635</v>
      </c>
      <c r="J300" s="3">
        <f t="shared" si="74"/>
        <v>2.1068402651102778</v>
      </c>
      <c r="K300" s="2"/>
      <c r="L300">
        <f t="shared" si="79"/>
        <v>2.5605845292581573</v>
      </c>
      <c r="M300" s="3">
        <f t="shared" si="75"/>
        <v>2.1068492628412607</v>
      </c>
      <c r="N300" s="2"/>
      <c r="O300">
        <f t="shared" si="80"/>
        <v>2.5987770169960602</v>
      </c>
      <c r="P300" s="4">
        <f t="shared" si="76"/>
        <v>2.9999999999992832</v>
      </c>
    </row>
    <row r="301" spans="5:16" x14ac:dyDescent="0.3">
      <c r="E301">
        <f t="shared" si="77"/>
        <v>2.4582847124656317</v>
      </c>
      <c r="F301" s="3">
        <f t="shared" si="73"/>
        <v>1.9814639483524727</v>
      </c>
      <c r="G301" s="3"/>
      <c r="H301" s="2"/>
      <c r="I301">
        <f t="shared" si="78"/>
        <v>2.6586941359009635</v>
      </c>
      <c r="J301" s="3">
        <f t="shared" si="74"/>
        <v>4.1068402651102778</v>
      </c>
      <c r="K301" s="2"/>
      <c r="L301">
        <f t="shared" si="79"/>
        <v>2.5605845292581573</v>
      </c>
      <c r="M301" s="3">
        <f t="shared" si="75"/>
        <v>4.1068492628412603</v>
      </c>
      <c r="N301" s="2"/>
      <c r="O301">
        <f t="shared" si="80"/>
        <v>2.5987770169960602</v>
      </c>
      <c r="P301" s="4">
        <f t="shared" si="76"/>
        <v>4.9999999999992832</v>
      </c>
    </row>
    <row r="302" spans="5:16" x14ac:dyDescent="0.3">
      <c r="E302">
        <f t="shared" si="77"/>
        <v>0</v>
      </c>
      <c r="F302" s="3">
        <f t="shared" si="73"/>
        <v>0</v>
      </c>
      <c r="G302" s="3"/>
      <c r="H302" s="2"/>
      <c r="I302">
        <f t="shared" si="78"/>
        <v>0</v>
      </c>
      <c r="J302" s="3">
        <f t="shared" si="74"/>
        <v>0</v>
      </c>
      <c r="K302" s="2"/>
      <c r="L302">
        <f t="shared" si="79"/>
        <v>0</v>
      </c>
      <c r="M302" s="3">
        <f t="shared" si="75"/>
        <v>0</v>
      </c>
      <c r="N302" s="2"/>
      <c r="O302">
        <f t="shared" si="80"/>
        <v>0</v>
      </c>
      <c r="P302" s="4">
        <f t="shared" si="76"/>
        <v>0</v>
      </c>
    </row>
    <row r="303" spans="5:16" x14ac:dyDescent="0.3">
      <c r="E303">
        <f t="shared" si="77"/>
        <v>0</v>
      </c>
      <c r="F303" s="3">
        <f t="shared" si="73"/>
        <v>0</v>
      </c>
      <c r="G303" s="3"/>
      <c r="H303" s="2"/>
      <c r="I303">
        <f t="shared" si="78"/>
        <v>0</v>
      </c>
      <c r="J303" s="3">
        <f t="shared" si="74"/>
        <v>0</v>
      </c>
      <c r="K303" s="2"/>
      <c r="L303">
        <f t="shared" si="79"/>
        <v>0</v>
      </c>
      <c r="M303" s="3">
        <f t="shared" si="75"/>
        <v>0</v>
      </c>
      <c r="N303" s="2"/>
      <c r="O303">
        <f t="shared" si="80"/>
        <v>0</v>
      </c>
      <c r="P303" s="4">
        <f t="shared" si="76"/>
        <v>0</v>
      </c>
    </row>
    <row r="304" spans="5:16" x14ac:dyDescent="0.3">
      <c r="E304">
        <f t="shared" si="77"/>
        <v>0</v>
      </c>
      <c r="F304" s="3">
        <f t="shared" si="73"/>
        <v>0</v>
      </c>
      <c r="G304" s="3"/>
      <c r="H304" s="2"/>
      <c r="I304">
        <f t="shared" si="78"/>
        <v>0</v>
      </c>
      <c r="J304" s="3">
        <f t="shared" si="74"/>
        <v>0</v>
      </c>
      <c r="K304" s="2"/>
      <c r="L304">
        <f t="shared" si="79"/>
        <v>0</v>
      </c>
      <c r="M304" s="3">
        <f t="shared" si="75"/>
        <v>0</v>
      </c>
      <c r="N304" s="2"/>
      <c r="O304">
        <f t="shared" si="80"/>
        <v>0</v>
      </c>
      <c r="P304" s="4">
        <f t="shared" si="76"/>
        <v>0</v>
      </c>
    </row>
    <row r="305" spans="5:16" x14ac:dyDescent="0.3">
      <c r="E305">
        <f t="shared" si="77"/>
        <v>0</v>
      </c>
      <c r="F305" s="3">
        <f t="shared" si="73"/>
        <v>0</v>
      </c>
      <c r="G305" s="3"/>
      <c r="H305" s="2"/>
      <c r="I305">
        <f t="shared" si="78"/>
        <v>0</v>
      </c>
      <c r="J305" s="3">
        <f t="shared" si="74"/>
        <v>0</v>
      </c>
      <c r="K305" s="2"/>
      <c r="L305">
        <f t="shared" si="79"/>
        <v>0</v>
      </c>
      <c r="M305" s="3">
        <f t="shared" si="75"/>
        <v>0</v>
      </c>
      <c r="N305" s="2"/>
      <c r="O305">
        <f t="shared" si="80"/>
        <v>0</v>
      </c>
      <c r="P305" s="4">
        <f t="shared" si="76"/>
        <v>0</v>
      </c>
    </row>
    <row r="306" spans="5:16" x14ac:dyDescent="0.3">
      <c r="E306">
        <f t="shared" si="77"/>
        <v>0</v>
      </c>
      <c r="F306" s="3">
        <f t="shared" si="73"/>
        <v>0</v>
      </c>
      <c r="G306" s="3"/>
      <c r="H306" s="2"/>
      <c r="I306">
        <f t="shared" si="78"/>
        <v>0</v>
      </c>
      <c r="J306" s="3">
        <f t="shared" si="74"/>
        <v>0</v>
      </c>
      <c r="K306" s="2"/>
      <c r="L306">
        <f t="shared" si="79"/>
        <v>0</v>
      </c>
      <c r="M306" s="3">
        <f t="shared" si="75"/>
        <v>0</v>
      </c>
      <c r="N306" s="2"/>
      <c r="O306">
        <f t="shared" si="80"/>
        <v>0</v>
      </c>
      <c r="P306" s="4">
        <f t="shared" si="76"/>
        <v>0</v>
      </c>
    </row>
    <row r="307" spans="5:16" x14ac:dyDescent="0.3">
      <c r="E307">
        <f t="shared" si="77"/>
        <v>0</v>
      </c>
      <c r="F307" s="3">
        <f t="shared" si="73"/>
        <v>0</v>
      </c>
      <c r="G307" s="3"/>
      <c r="H307" s="2"/>
      <c r="I307">
        <f t="shared" si="78"/>
        <v>0</v>
      </c>
      <c r="J307" s="3">
        <f t="shared" si="74"/>
        <v>0</v>
      </c>
      <c r="K307" s="2"/>
      <c r="L307">
        <f t="shared" si="79"/>
        <v>0</v>
      </c>
      <c r="M307" s="3">
        <f t="shared" si="75"/>
        <v>0</v>
      </c>
      <c r="N307" s="2"/>
      <c r="O307">
        <f t="shared" si="80"/>
        <v>0</v>
      </c>
      <c r="P307" s="4">
        <f t="shared" si="76"/>
        <v>0</v>
      </c>
    </row>
    <row r="308" spans="5:16" x14ac:dyDescent="0.3">
      <c r="E308">
        <f t="shared" si="77"/>
        <v>0</v>
      </c>
      <c r="F308" s="3">
        <f t="shared" si="73"/>
        <v>0</v>
      </c>
      <c r="G308" s="3"/>
      <c r="H308" s="2"/>
      <c r="I308">
        <f t="shared" si="78"/>
        <v>0</v>
      </c>
      <c r="J308" s="3">
        <f t="shared" si="74"/>
        <v>0</v>
      </c>
      <c r="K308" s="2"/>
      <c r="L308">
        <f t="shared" si="79"/>
        <v>0</v>
      </c>
      <c r="M308" s="3">
        <f t="shared" si="75"/>
        <v>0</v>
      </c>
      <c r="N308" s="2"/>
      <c r="O308">
        <f t="shared" si="80"/>
        <v>0</v>
      </c>
      <c r="P308" s="4">
        <f t="shared" si="76"/>
        <v>0</v>
      </c>
    </row>
    <row r="309" spans="5:16" x14ac:dyDescent="0.3">
      <c r="E309">
        <f t="shared" si="77"/>
        <v>0</v>
      </c>
      <c r="F309" s="3">
        <f t="shared" si="73"/>
        <v>0</v>
      </c>
      <c r="G309" s="3"/>
      <c r="H309" s="2"/>
      <c r="I309">
        <f t="shared" si="78"/>
        <v>0</v>
      </c>
      <c r="J309" s="3">
        <f t="shared" si="74"/>
        <v>0</v>
      </c>
      <c r="K309" s="2"/>
      <c r="L309">
        <f t="shared" si="79"/>
        <v>0</v>
      </c>
      <c r="M309" s="3">
        <f t="shared" si="75"/>
        <v>0</v>
      </c>
      <c r="N309" s="2"/>
      <c r="O309">
        <f t="shared" si="80"/>
        <v>0</v>
      </c>
      <c r="P309" s="4">
        <f t="shared" si="76"/>
        <v>0</v>
      </c>
    </row>
    <row r="310" spans="5:16" x14ac:dyDescent="0.3">
      <c r="E310">
        <f t="shared" si="77"/>
        <v>0</v>
      </c>
      <c r="F310" s="3">
        <f t="shared" si="73"/>
        <v>0</v>
      </c>
      <c r="G310" s="3"/>
      <c r="H310" s="2"/>
      <c r="I310">
        <f t="shared" si="78"/>
        <v>0</v>
      </c>
      <c r="J310" s="3">
        <f t="shared" si="74"/>
        <v>0</v>
      </c>
      <c r="K310" s="2"/>
      <c r="L310">
        <f t="shared" si="79"/>
        <v>0</v>
      </c>
      <c r="M310" s="3">
        <f t="shared" si="75"/>
        <v>0</v>
      </c>
      <c r="N310" s="2"/>
      <c r="O310">
        <f t="shared" si="80"/>
        <v>0</v>
      </c>
      <c r="P310" s="4">
        <f t="shared" si="76"/>
        <v>0</v>
      </c>
    </row>
    <row r="311" spans="5:16" x14ac:dyDescent="0.3">
      <c r="E311">
        <f t="shared" si="77"/>
        <v>0</v>
      </c>
      <c r="F311" s="3">
        <f t="shared" si="73"/>
        <v>0</v>
      </c>
      <c r="G311" s="3"/>
      <c r="H311" s="2"/>
      <c r="I311">
        <f t="shared" si="78"/>
        <v>0</v>
      </c>
      <c r="J311" s="3">
        <f t="shared" si="74"/>
        <v>0</v>
      </c>
      <c r="K311" s="2"/>
      <c r="L311">
        <f t="shared" si="79"/>
        <v>0</v>
      </c>
      <c r="M311" s="3">
        <f t="shared" si="75"/>
        <v>0</v>
      </c>
      <c r="N311" s="2"/>
      <c r="O311">
        <f t="shared" si="80"/>
        <v>0</v>
      </c>
      <c r="P311" s="4">
        <f t="shared" si="76"/>
        <v>0</v>
      </c>
    </row>
    <row r="312" spans="5:16" x14ac:dyDescent="0.3">
      <c r="E312">
        <f t="shared" si="77"/>
        <v>0</v>
      </c>
      <c r="F312" s="3">
        <f t="shared" si="73"/>
        <v>0</v>
      </c>
      <c r="G312" s="3"/>
      <c r="H312" s="2"/>
      <c r="I312">
        <f t="shared" si="78"/>
        <v>0</v>
      </c>
      <c r="J312" s="3">
        <f t="shared" si="74"/>
        <v>0</v>
      </c>
      <c r="K312" s="2"/>
      <c r="L312">
        <f t="shared" si="79"/>
        <v>0</v>
      </c>
      <c r="M312" s="3">
        <f t="shared" si="75"/>
        <v>0</v>
      </c>
      <c r="N312" s="2"/>
      <c r="O312">
        <f t="shared" si="80"/>
        <v>0</v>
      </c>
      <c r="P312" s="4">
        <f t="shared" si="76"/>
        <v>0</v>
      </c>
    </row>
    <row r="313" spans="5:16" x14ac:dyDescent="0.3">
      <c r="E313">
        <f t="shared" si="77"/>
        <v>0</v>
      </c>
      <c r="F313" s="3">
        <f t="shared" si="73"/>
        <v>0</v>
      </c>
      <c r="G313" s="3"/>
      <c r="H313" s="2"/>
      <c r="I313">
        <f t="shared" si="78"/>
        <v>0</v>
      </c>
      <c r="J313" s="3">
        <f t="shared" si="74"/>
        <v>0</v>
      </c>
      <c r="K313" s="2"/>
      <c r="L313">
        <f t="shared" si="79"/>
        <v>0</v>
      </c>
      <c r="M313" s="3">
        <f t="shared" si="75"/>
        <v>0</v>
      </c>
      <c r="N313" s="2"/>
      <c r="O313">
        <f t="shared" si="80"/>
        <v>0</v>
      </c>
      <c r="P313" s="4">
        <f t="shared" si="76"/>
        <v>0</v>
      </c>
    </row>
    <row r="314" spans="5:16" x14ac:dyDescent="0.3">
      <c r="E314">
        <f t="shared" si="77"/>
        <v>0</v>
      </c>
      <c r="F314" s="3">
        <f t="shared" si="73"/>
        <v>0</v>
      </c>
      <c r="G314" s="3"/>
      <c r="H314" s="2"/>
      <c r="I314">
        <f t="shared" si="78"/>
        <v>0</v>
      </c>
      <c r="J314" s="3">
        <f t="shared" si="74"/>
        <v>0</v>
      </c>
      <c r="K314" s="2"/>
      <c r="L314">
        <f t="shared" si="79"/>
        <v>0</v>
      </c>
      <c r="M314" s="3">
        <f t="shared" si="75"/>
        <v>0</v>
      </c>
      <c r="N314" s="2"/>
      <c r="O314">
        <f t="shared" si="80"/>
        <v>0</v>
      </c>
      <c r="P314" s="4">
        <f t="shared" si="76"/>
        <v>0</v>
      </c>
    </row>
    <row r="315" spans="5:16" x14ac:dyDescent="0.3">
      <c r="E315">
        <f t="shared" si="77"/>
        <v>0</v>
      </c>
      <c r="F315" s="3">
        <f t="shared" si="73"/>
        <v>0</v>
      </c>
      <c r="G315" s="3"/>
      <c r="H315" s="2"/>
      <c r="I315">
        <f t="shared" si="78"/>
        <v>0</v>
      </c>
      <c r="J315" s="3">
        <f t="shared" si="74"/>
        <v>0</v>
      </c>
      <c r="K315" s="2"/>
      <c r="L315">
        <f t="shared" si="79"/>
        <v>0</v>
      </c>
      <c r="M315" s="3">
        <f t="shared" si="75"/>
        <v>0</v>
      </c>
      <c r="N315" s="2"/>
      <c r="O315">
        <f t="shared" si="80"/>
        <v>0</v>
      </c>
      <c r="P315" s="4">
        <f t="shared" si="76"/>
        <v>0</v>
      </c>
    </row>
    <row r="316" spans="5:16" x14ac:dyDescent="0.3">
      <c r="E316">
        <f t="shared" si="77"/>
        <v>0</v>
      </c>
      <c r="F316" s="3">
        <f t="shared" si="73"/>
        <v>0</v>
      </c>
      <c r="G316" s="3"/>
      <c r="H316" s="2"/>
      <c r="I316">
        <f t="shared" si="78"/>
        <v>0</v>
      </c>
      <c r="J316" s="3">
        <f t="shared" si="74"/>
        <v>0</v>
      </c>
      <c r="K316" s="2"/>
      <c r="L316">
        <f t="shared" si="79"/>
        <v>0</v>
      </c>
      <c r="M316" s="3">
        <f t="shared" si="75"/>
        <v>0</v>
      </c>
      <c r="N316" s="2"/>
      <c r="O316">
        <f t="shared" si="80"/>
        <v>0</v>
      </c>
      <c r="P316" s="4">
        <f t="shared" si="76"/>
        <v>0</v>
      </c>
    </row>
    <row r="317" spans="5:16" x14ac:dyDescent="0.3">
      <c r="F317" s="3"/>
      <c r="G317" s="3"/>
      <c r="H317" s="2"/>
      <c r="J317" s="3"/>
      <c r="K317" s="2"/>
      <c r="M317" s="3"/>
      <c r="N317" s="2"/>
      <c r="P317" s="4"/>
    </row>
    <row r="318" spans="5:16" x14ac:dyDescent="0.3">
      <c r="F318" s="3"/>
      <c r="G318" s="3"/>
      <c r="H318" s="2"/>
      <c r="J318" s="3"/>
      <c r="K318" s="2"/>
      <c r="M318" s="3"/>
      <c r="N318" s="2"/>
      <c r="P318" s="4"/>
    </row>
    <row r="319" spans="5:16" x14ac:dyDescent="0.3">
      <c r="F319" s="3"/>
      <c r="G319" s="3"/>
      <c r="H319" s="2"/>
      <c r="J319" s="3"/>
      <c r="K319" s="2"/>
      <c r="M319" s="3"/>
      <c r="N319" s="2"/>
      <c r="P319" s="4"/>
    </row>
    <row r="320" spans="5:16" x14ac:dyDescent="0.3">
      <c r="F320" s="3"/>
      <c r="G320" s="3"/>
      <c r="H320" s="2"/>
      <c r="J320" s="3"/>
      <c r="K320" s="2"/>
      <c r="M320" s="3"/>
      <c r="N320" s="2"/>
      <c r="P320" s="4"/>
    </row>
    <row r="321" spans="6:16" x14ac:dyDescent="0.3">
      <c r="F321" s="3"/>
      <c r="G321" s="3"/>
      <c r="H321" s="2"/>
      <c r="J321" s="3"/>
      <c r="K321" s="2"/>
      <c r="M321" s="3"/>
      <c r="N321" s="2"/>
      <c r="P321" s="4"/>
    </row>
    <row r="322" spans="6:16" x14ac:dyDescent="0.3">
      <c r="F322" s="3"/>
      <c r="G322" s="3"/>
      <c r="H322" s="2"/>
      <c r="J322" s="3"/>
      <c r="K322" s="2"/>
      <c r="M322" s="3"/>
      <c r="N322" s="2"/>
      <c r="P322" s="4"/>
    </row>
  </sheetData>
  <protectedRanges>
    <protectedRange sqref="B20:B22" name="Experiment details"/>
    <protectedRange sqref="E2:F6 I2:J7 L2:M8 O2:P8" name="Fitting parameters"/>
    <protectedRange sqref="A24:C24 E70:P89 E115:P134 E210:P224 A210:C224" name="Data entry"/>
    <protectedRange sqref="AC1 AE1 AK1 AN1" name="Dose response fig adjust"/>
    <protectedRange sqref="A25:C209" name="Data entry_1"/>
  </protectedRanges>
  <phoneticPr fontId="1" type="noConversion"/>
  <pageMargins left="0.75" right="0.75" top="1" bottom="1" header="0.5" footer="0.5"/>
  <pageSetup paperSize="9" orientation="portrait" r:id="rId1"/>
  <headerFooter alignWithMargins="0"/>
  <ignoredErrors>
    <ignoredError sqref="F11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indexed="48"/>
  </sheetPr>
  <dimension ref="A1:AQ322"/>
  <sheetViews>
    <sheetView zoomScaleNormal="100" workbookViewId="0">
      <selection activeCell="E4" sqref="E4"/>
    </sheetView>
  </sheetViews>
  <sheetFormatPr defaultRowHeight="12.45" x14ac:dyDescent="0.3"/>
  <cols>
    <col min="1" max="2" width="9.23046875" bestFit="1" customWidth="1"/>
    <col min="3" max="3" width="9.69140625" bestFit="1" customWidth="1"/>
    <col min="4" max="4" width="2.23046875" customWidth="1"/>
    <col min="5" max="5" width="11.84375" bestFit="1" customWidth="1"/>
    <col min="6" max="6" width="12.69140625" bestFit="1" customWidth="1"/>
    <col min="7" max="7" width="12.69140625" hidden="1" customWidth="1"/>
    <col min="8" max="8" width="2.53515625" customWidth="1"/>
    <col min="9" max="10" width="9.23046875" bestFit="1" customWidth="1"/>
    <col min="11" max="11" width="2.23046875" customWidth="1"/>
    <col min="12" max="13" width="9.23046875" bestFit="1" customWidth="1"/>
    <col min="14" max="14" width="2.15234375" customWidth="1"/>
    <col min="15" max="15" width="11.15234375" customWidth="1"/>
    <col min="16" max="16" width="10.69140625" customWidth="1"/>
    <col min="19" max="19" width="9.23046875" bestFit="1" customWidth="1"/>
    <col min="24" max="25" width="9.23046875" bestFit="1" customWidth="1"/>
    <col min="29" max="29" width="9.4609375" bestFit="1" customWidth="1"/>
    <col min="30" max="30" width="12.53515625" bestFit="1" customWidth="1"/>
    <col min="32" max="32" width="2.84375" customWidth="1"/>
    <col min="35" max="35" width="2.84375" customWidth="1"/>
    <col min="36" max="37" width="9.4609375" bestFit="1" customWidth="1"/>
    <col min="38" max="38" width="2.69140625" customWidth="1"/>
    <col min="41" max="41" width="3" customWidth="1"/>
  </cols>
  <sheetData>
    <row r="1" spans="1:43" x14ac:dyDescent="0.3">
      <c r="E1" s="74" t="s">
        <v>21</v>
      </c>
      <c r="F1" s="75"/>
      <c r="G1" s="1"/>
      <c r="H1" s="1"/>
      <c r="I1" s="74" t="s">
        <v>4</v>
      </c>
      <c r="J1" s="75"/>
      <c r="K1" s="1"/>
      <c r="L1" s="74" t="s">
        <v>7</v>
      </c>
      <c r="M1" s="75"/>
      <c r="N1" s="1"/>
      <c r="O1" s="74" t="s">
        <v>8</v>
      </c>
      <c r="P1" s="16"/>
      <c r="AB1" s="38" t="s">
        <v>24</v>
      </c>
      <c r="AC1" s="39"/>
      <c r="AD1" s="38" t="s">
        <v>55</v>
      </c>
      <c r="AE1" s="40">
        <v>1.3</v>
      </c>
      <c r="AG1" s="1"/>
      <c r="AI1" s="1" t="s">
        <v>23</v>
      </c>
      <c r="AJ1" s="37"/>
      <c r="AK1" s="39"/>
      <c r="AM1" s="38" t="s">
        <v>55</v>
      </c>
      <c r="AN1" s="40">
        <v>1.3</v>
      </c>
      <c r="AP1" s="1"/>
    </row>
    <row r="2" spans="1:43" x14ac:dyDescent="0.3">
      <c r="B2" s="1" t="s">
        <v>22</v>
      </c>
      <c r="E2" s="35">
        <v>793.92287987962777</v>
      </c>
      <c r="F2" s="25"/>
      <c r="I2" s="35">
        <v>811.2552919668758</v>
      </c>
      <c r="J2" s="25"/>
      <c r="L2" s="35">
        <v>811.6803956411095</v>
      </c>
      <c r="M2" s="25"/>
      <c r="O2" s="35">
        <v>806.32581394474471</v>
      </c>
      <c r="P2" s="25"/>
      <c r="S2" s="3">
        <f>0</f>
        <v>0</v>
      </c>
      <c r="AC2">
        <f>MAX(AC1,MAX(A25:A225))</f>
        <v>0.4</v>
      </c>
      <c r="AK2">
        <f>MAX(AK1,MAX(B25:B225))</f>
        <v>4</v>
      </c>
    </row>
    <row r="3" spans="1:43" x14ac:dyDescent="0.3">
      <c r="B3" s="21" t="s">
        <v>34</v>
      </c>
      <c r="C3" s="12"/>
      <c r="D3" s="12"/>
      <c r="E3" s="49">
        <v>6.4650132857684559</v>
      </c>
      <c r="F3" s="50"/>
      <c r="G3" s="12"/>
      <c r="H3" s="12"/>
      <c r="I3" s="49">
        <v>7.8048781425481346</v>
      </c>
      <c r="J3" s="50"/>
      <c r="K3" s="12"/>
      <c r="L3" s="49">
        <v>7.8020041311109694</v>
      </c>
      <c r="M3" s="50"/>
      <c r="N3" s="12"/>
      <c r="O3" s="49">
        <v>7.1633225976509065</v>
      </c>
      <c r="P3" s="50"/>
      <c r="S3" s="3">
        <f>MAX(C25:C225)</f>
        <v>1051</v>
      </c>
      <c r="AD3" t="s">
        <v>0</v>
      </c>
      <c r="AK3" t="s">
        <v>0</v>
      </c>
    </row>
    <row r="4" spans="1:43" x14ac:dyDescent="0.3">
      <c r="B4" s="22" t="s">
        <v>35</v>
      </c>
      <c r="C4" s="8"/>
      <c r="D4" s="8"/>
      <c r="E4" s="51">
        <v>0.41885458711054263</v>
      </c>
      <c r="F4" s="52"/>
      <c r="G4" s="8"/>
      <c r="H4" s="8"/>
      <c r="I4" s="51">
        <v>0.25250439882525794</v>
      </c>
      <c r="J4" s="52"/>
      <c r="K4" s="8"/>
      <c r="L4" s="51">
        <v>0.28594327020331145</v>
      </c>
      <c r="M4" s="52"/>
      <c r="N4" s="8"/>
      <c r="O4" s="51">
        <v>0.22047643582490228</v>
      </c>
      <c r="P4" s="52"/>
      <c r="AC4">
        <v>0</v>
      </c>
      <c r="AD4">
        <f t="shared" ref="AD4:AD16" si="0">$E$2/(1+(AC4/$E$5)^$E$3)</f>
        <v>793.92287987962777</v>
      </c>
      <c r="AJ4">
        <v>0</v>
      </c>
      <c r="AK4">
        <f t="shared" ref="AK4:AK16" si="1">$E$2/(1+(AJ4/$E$6)^$E$4)</f>
        <v>793.92287987962777</v>
      </c>
    </row>
    <row r="5" spans="1:43" x14ac:dyDescent="0.3">
      <c r="B5" s="21" t="s">
        <v>43</v>
      </c>
      <c r="C5" s="12"/>
      <c r="D5" s="12"/>
      <c r="E5" s="49">
        <v>8.4097150650283448E-2</v>
      </c>
      <c r="F5" s="50"/>
      <c r="G5" s="12"/>
      <c r="H5" s="12"/>
      <c r="I5" s="49">
        <v>7.8947348965418343E-2</v>
      </c>
      <c r="J5" s="50"/>
      <c r="K5" s="12"/>
      <c r="L5" s="49">
        <v>7.9478547244482681E-2</v>
      </c>
      <c r="M5" s="50"/>
      <c r="N5" s="12"/>
      <c r="O5" s="49">
        <v>8.01178500393082E-2</v>
      </c>
      <c r="P5" s="50"/>
      <c r="AC5">
        <f t="shared" ref="AC5:AC14" si="2">AC6/$AE$1</f>
        <v>2.9015260114562277E-2</v>
      </c>
      <c r="AD5">
        <f t="shared" si="0"/>
        <v>793.10724665041357</v>
      </c>
      <c r="AJ5">
        <f t="shared" ref="AJ5:AJ14" si="3">AJ6/$AN$1</f>
        <v>0.2901526011456228</v>
      </c>
      <c r="AK5">
        <f t="shared" si="1"/>
        <v>711.38737946893411</v>
      </c>
    </row>
    <row r="6" spans="1:43" x14ac:dyDescent="0.3">
      <c r="B6" s="22" t="s">
        <v>42</v>
      </c>
      <c r="C6" s="8"/>
      <c r="D6" s="8"/>
      <c r="E6" s="67">
        <v>49.661039113993525</v>
      </c>
      <c r="F6" s="69"/>
      <c r="G6" s="8"/>
      <c r="H6" s="8"/>
      <c r="I6" s="67">
        <v>47.68033180405488</v>
      </c>
      <c r="J6" s="52"/>
      <c r="K6" s="8"/>
      <c r="L6" s="67">
        <v>31.954889579266801</v>
      </c>
      <c r="M6" s="52"/>
      <c r="N6" s="8"/>
      <c r="O6" s="67">
        <v>81.177013281976727</v>
      </c>
      <c r="P6" s="52"/>
      <c r="AC6">
        <f t="shared" si="2"/>
        <v>3.7719838148930963E-2</v>
      </c>
      <c r="AD6">
        <f t="shared" si="0"/>
        <v>789.49538695358331</v>
      </c>
      <c r="AJ6">
        <f t="shared" si="3"/>
        <v>0.37719838148930962</v>
      </c>
      <c r="AK6">
        <f t="shared" si="1"/>
        <v>702.89938773444521</v>
      </c>
    </row>
    <row r="7" spans="1:43" x14ac:dyDescent="0.3">
      <c r="B7" s="1" t="s">
        <v>5</v>
      </c>
      <c r="F7" s="2"/>
      <c r="G7" s="2"/>
      <c r="H7" s="2"/>
      <c r="I7" s="26">
        <v>22.239929049941917</v>
      </c>
      <c r="J7" s="27"/>
      <c r="L7" s="26">
        <v>98.851329604191122</v>
      </c>
      <c r="M7" s="25"/>
      <c r="O7" s="26">
        <v>53.303791717519964</v>
      </c>
      <c r="P7" s="25"/>
      <c r="X7">
        <v>0</v>
      </c>
      <c r="Y7">
        <v>0</v>
      </c>
      <c r="AC7">
        <f t="shared" si="2"/>
        <v>4.9035789593610254E-2</v>
      </c>
      <c r="AD7">
        <f t="shared" si="0"/>
        <v>770.36426805632925</v>
      </c>
      <c r="AJ7">
        <f t="shared" si="3"/>
        <v>0.49035789593610252</v>
      </c>
      <c r="AK7">
        <f t="shared" si="1"/>
        <v>693.66151263314612</v>
      </c>
    </row>
    <row r="8" spans="1:43" x14ac:dyDescent="0.3">
      <c r="B8" s="1" t="s">
        <v>6</v>
      </c>
      <c r="L8" s="26">
        <v>-89.640794931731065</v>
      </c>
      <c r="M8" s="27"/>
      <c r="O8" s="26">
        <v>0.52328256198535716</v>
      </c>
      <c r="P8" s="27"/>
      <c r="X8">
        <f>MAX(MAX(E227:E302), MAX(I227:I302), MAX(L227:L302), MAX(O227:O302))</f>
        <v>3.8209739448764801</v>
      </c>
      <c r="Y8">
        <v>0</v>
      </c>
      <c r="AC8">
        <f t="shared" si="2"/>
        <v>6.3746526471693335E-2</v>
      </c>
      <c r="AD8">
        <f t="shared" si="0"/>
        <v>680.44932965420151</v>
      </c>
      <c r="AJ8">
        <f t="shared" si="3"/>
        <v>0.63746526471693332</v>
      </c>
      <c r="AK8">
        <f t="shared" si="1"/>
        <v>683.63320232258695</v>
      </c>
    </row>
    <row r="9" spans="1:43" x14ac:dyDescent="0.3">
      <c r="B9" s="1"/>
      <c r="AC9">
        <f t="shared" si="2"/>
        <v>8.2870484413201342E-2</v>
      </c>
      <c r="AD9">
        <f t="shared" si="0"/>
        <v>415.80197591552707</v>
      </c>
      <c r="AJ9">
        <f t="shared" si="3"/>
        <v>0.82870484413201329</v>
      </c>
      <c r="AK9">
        <f t="shared" si="1"/>
        <v>672.7770229101958</v>
      </c>
    </row>
    <row r="10" spans="1:43" x14ac:dyDescent="0.3">
      <c r="B10" s="1"/>
      <c r="C10" s="35"/>
      <c r="D10" s="60"/>
      <c r="E10" s="35" t="s">
        <v>2</v>
      </c>
      <c r="F10" s="61" t="s">
        <v>10</v>
      </c>
      <c r="I10" s="35"/>
      <c r="J10" s="36"/>
      <c r="L10" s="35"/>
      <c r="M10" s="36"/>
      <c r="O10" s="35"/>
      <c r="P10" s="36"/>
      <c r="AC10">
        <f t="shared" si="2"/>
        <v>0.10773162973716174</v>
      </c>
      <c r="AD10">
        <f t="shared" si="0"/>
        <v>133.23208664664779</v>
      </c>
      <c r="AG10" s="3"/>
      <c r="AJ10">
        <f t="shared" si="3"/>
        <v>1.0773162973716173</v>
      </c>
      <c r="AK10">
        <f t="shared" si="1"/>
        <v>661.05991620762575</v>
      </c>
    </row>
    <row r="11" spans="1:43" x14ac:dyDescent="0.3">
      <c r="C11" s="24" t="s">
        <v>58</v>
      </c>
      <c r="E11" s="53">
        <f>E13-E12</f>
        <v>12358086.591363251</v>
      </c>
      <c r="F11" s="54">
        <f>COUNT(E3:E6)</f>
        <v>4</v>
      </c>
      <c r="I11" s="24" t="s">
        <v>59</v>
      </c>
      <c r="J11" s="25"/>
      <c r="L11" s="24" t="s">
        <v>60</v>
      </c>
      <c r="M11" s="25"/>
      <c r="O11" s="24" t="s">
        <v>61</v>
      </c>
      <c r="P11" s="25"/>
      <c r="AC11">
        <f t="shared" si="2"/>
        <v>0.14005111865831027</v>
      </c>
      <c r="AD11">
        <f t="shared" si="0"/>
        <v>28.312178235500383</v>
      </c>
      <c r="AJ11">
        <f t="shared" si="3"/>
        <v>1.4005111865831026</v>
      </c>
      <c r="AK11">
        <f t="shared" si="1"/>
        <v>648.45457834023864</v>
      </c>
    </row>
    <row r="12" spans="1:43" s="7" customFormat="1" x14ac:dyDescent="0.3">
      <c r="A12"/>
      <c r="C12" s="56" t="s">
        <v>16</v>
      </c>
      <c r="D12" s="55"/>
      <c r="E12" s="79">
        <f>SUM(F25:F224)</f>
        <v>1546002.5810505522</v>
      </c>
      <c r="F12" s="54">
        <f>F13-F11</f>
        <v>140</v>
      </c>
      <c r="G12" s="55"/>
      <c r="H12" s="55"/>
      <c r="I12" s="79">
        <f>SUM(J25:J224)</f>
        <v>1014715.4148186693</v>
      </c>
      <c r="J12" s="57"/>
      <c r="K12" s="55"/>
      <c r="L12" s="79">
        <f>SUM(M25:M224)</f>
        <v>1011766.2052687336</v>
      </c>
      <c r="M12" s="57"/>
      <c r="N12" s="55"/>
      <c r="O12" s="79">
        <f>SUM(P25:P224)</f>
        <v>999853.69884594856</v>
      </c>
      <c r="P12" s="25"/>
      <c r="Q12"/>
      <c r="AC12">
        <f t="shared" si="2"/>
        <v>0.18206645425580337</v>
      </c>
      <c r="AD12">
        <f t="shared" si="0"/>
        <v>5.3476519303084986</v>
      </c>
      <c r="AE12"/>
      <c r="AF12"/>
      <c r="AJ12">
        <f t="shared" si="3"/>
        <v>1.8206645425580334</v>
      </c>
      <c r="AK12">
        <f t="shared" si="1"/>
        <v>634.94092778119932</v>
      </c>
      <c r="AM12" s="6"/>
      <c r="AN12" s="6"/>
      <c r="AP12" s="6"/>
      <c r="AQ12" s="6"/>
    </row>
    <row r="13" spans="1:43" x14ac:dyDescent="0.3">
      <c r="A13" s="7"/>
      <c r="C13" s="26" t="s">
        <v>53</v>
      </c>
      <c r="D13" s="28"/>
      <c r="E13" s="62">
        <f>SUMXMY2(C25:C224,G25:G224)</f>
        <v>13904089.172413804</v>
      </c>
      <c r="F13" s="63">
        <f>C16-1</f>
        <v>144</v>
      </c>
      <c r="G13" s="1"/>
      <c r="H13" s="1"/>
      <c r="I13" s="72"/>
      <c r="J13" s="73"/>
      <c r="K13" s="1"/>
      <c r="L13" s="72"/>
      <c r="M13" s="73"/>
      <c r="N13" s="1"/>
      <c r="O13" s="72"/>
      <c r="P13" s="27"/>
      <c r="AC13">
        <f t="shared" si="2"/>
        <v>0.23668639053254439</v>
      </c>
      <c r="AD13">
        <f t="shared" si="0"/>
        <v>0.98608258230373724</v>
      </c>
      <c r="AJ13">
        <f t="shared" si="3"/>
        <v>2.3668639053254434</v>
      </c>
      <c r="AK13">
        <f t="shared" si="1"/>
        <v>620.50761786202827</v>
      </c>
    </row>
    <row r="14" spans="1:43" x14ac:dyDescent="0.3">
      <c r="A14" s="80" t="s">
        <v>70</v>
      </c>
      <c r="Q14" s="6"/>
      <c r="AC14">
        <f t="shared" si="2"/>
        <v>0.30769230769230771</v>
      </c>
      <c r="AD14">
        <f t="shared" si="0"/>
        <v>0.18101256287924461</v>
      </c>
      <c r="AJ14">
        <f t="shared" si="3"/>
        <v>3.0769230769230766</v>
      </c>
      <c r="AK14">
        <f t="shared" si="1"/>
        <v>605.15353482241437</v>
      </c>
    </row>
    <row r="15" spans="1:43" ht="24" customHeight="1" x14ac:dyDescent="0.3">
      <c r="B15" s="31" t="s">
        <v>15</v>
      </c>
      <c r="C15" s="32"/>
      <c r="D15" s="33"/>
      <c r="E15" s="31" t="s">
        <v>69</v>
      </c>
      <c r="F15" s="33"/>
      <c r="G15" s="70"/>
      <c r="H15" s="7"/>
      <c r="I15" s="31" t="s">
        <v>44</v>
      </c>
      <c r="J15" s="34"/>
      <c r="K15" s="6"/>
      <c r="L15" s="31" t="s">
        <v>45</v>
      </c>
      <c r="M15" s="34" t="s">
        <v>20</v>
      </c>
      <c r="N15" s="6"/>
      <c r="O15" s="31" t="s">
        <v>46</v>
      </c>
      <c r="P15" s="34" t="s">
        <v>48</v>
      </c>
      <c r="Q15" s="6"/>
      <c r="AC15">
        <f>$AC$2</f>
        <v>0.4</v>
      </c>
      <c r="AD15">
        <f t="shared" si="0"/>
        <v>3.3200475099985985E-2</v>
      </c>
      <c r="AJ15">
        <f>$AK$2</f>
        <v>4</v>
      </c>
      <c r="AK15">
        <f t="shared" si="1"/>
        <v>588.88920923480157</v>
      </c>
    </row>
    <row r="16" spans="1:43" x14ac:dyDescent="0.3">
      <c r="B16" s="29" t="s">
        <v>9</v>
      </c>
      <c r="C16" s="30">
        <f>COUNT(C25:C224)</f>
        <v>145</v>
      </c>
      <c r="E16" s="35" t="s">
        <v>50</v>
      </c>
      <c r="F16" s="36">
        <f>E11/E13</f>
        <v>0.88880950331375352</v>
      </c>
      <c r="I16" s="35" t="s">
        <v>50</v>
      </c>
      <c r="J16" s="36">
        <f>($E$13-I12)/$E$13</f>
        <v>0.92702036054027193</v>
      </c>
      <c r="L16" s="35" t="s">
        <v>50</v>
      </c>
      <c r="M16" s="36">
        <f>($E$13-L12)/$E$13</f>
        <v>0.92723247148931465</v>
      </c>
      <c r="O16" s="35" t="s">
        <v>50</v>
      </c>
      <c r="P16" s="36">
        <f>($E$13-O12)/$E$13</f>
        <v>0.9280892342930529</v>
      </c>
      <c r="Q16" s="6"/>
      <c r="AC16">
        <f>AC15*$AE$1</f>
        <v>0.52</v>
      </c>
      <c r="AD16">
        <f t="shared" si="0"/>
        <v>6.0885495287262247E-3</v>
      </c>
      <c r="AJ16">
        <f>AJ15*$AN$1</f>
        <v>5.2</v>
      </c>
      <c r="AK16">
        <f t="shared" si="1"/>
        <v>571.73805774214338</v>
      </c>
    </row>
    <row r="17" spans="1:43" x14ac:dyDescent="0.3">
      <c r="B17" s="29"/>
      <c r="E17" s="24" t="s">
        <v>52</v>
      </c>
      <c r="F17" s="25">
        <f>(F16/(1-F16)*((C16-1-COUNT(E3:E6))/(COUNT(E3:E6))))</f>
        <v>279.77510257699265</v>
      </c>
      <c r="I17" s="24"/>
      <c r="J17" s="25"/>
      <c r="L17" s="24"/>
      <c r="M17" s="25"/>
      <c r="O17" s="24"/>
      <c r="P17" s="25"/>
    </row>
    <row r="18" spans="1:43" x14ac:dyDescent="0.3">
      <c r="B18" s="26"/>
      <c r="C18" s="28"/>
      <c r="D18" s="28"/>
      <c r="E18" s="26" t="s">
        <v>51</v>
      </c>
      <c r="F18" s="27">
        <f>FDIST(F17,COUNT(E3:E6),(C16-1)-COUNT(E3:E6))</f>
        <v>1.0606412121128253E-65</v>
      </c>
      <c r="H18" s="1" t="s">
        <v>10</v>
      </c>
      <c r="I18" s="24">
        <v>1</v>
      </c>
      <c r="J18" s="25"/>
      <c r="L18" s="24">
        <v>2</v>
      </c>
      <c r="M18" s="25">
        <v>1</v>
      </c>
      <c r="O18" s="24">
        <v>2</v>
      </c>
      <c r="P18" s="25">
        <v>1</v>
      </c>
    </row>
    <row r="19" spans="1:43" x14ac:dyDescent="0.3">
      <c r="A19" s="18" t="s">
        <v>38</v>
      </c>
      <c r="B19" s="1"/>
      <c r="G19" s="1"/>
      <c r="H19" s="38" t="s">
        <v>11</v>
      </c>
      <c r="I19" s="26">
        <f>$C$16*LN(E12/I12)</f>
        <v>61.054341766383267</v>
      </c>
      <c r="J19" s="27"/>
      <c r="L19" s="26">
        <f>$C$16*LN(E12/L12)</f>
        <v>61.476389203095934</v>
      </c>
      <c r="M19" s="27">
        <f>$C$16*LN(I12/L12)</f>
        <v>0.42204743671268224</v>
      </c>
      <c r="O19" s="26">
        <f>$C$16*LN(E12/O12)</f>
        <v>63.193745070870293</v>
      </c>
      <c r="P19" s="27">
        <f>$C$16*LN(I12/O12)</f>
        <v>2.139403304487054</v>
      </c>
      <c r="AD19" t="s">
        <v>0</v>
      </c>
      <c r="AK19" t="s">
        <v>0</v>
      </c>
    </row>
    <row r="20" spans="1:43" x14ac:dyDescent="0.3">
      <c r="A20" s="18" t="s">
        <v>39</v>
      </c>
      <c r="B20" s="20"/>
      <c r="C20" s="12"/>
      <c r="D20" s="12"/>
      <c r="G20" s="1"/>
      <c r="H20" s="38" t="s">
        <v>12</v>
      </c>
      <c r="I20" s="26">
        <f>CHIDIST(I19,I18)</f>
        <v>5.5520940367229644E-15</v>
      </c>
      <c r="J20" s="27"/>
      <c r="L20" s="17">
        <f>CHIDIST(L19,L18)</f>
        <v>4.4727198912519101E-14</v>
      </c>
      <c r="M20" s="16">
        <f>CHIDIST(M19,M18)</f>
        <v>0.51591717721126673</v>
      </c>
      <c r="O20" s="17">
        <f>CHIDIST(O19,O18)</f>
        <v>1.8951893729214275E-14</v>
      </c>
      <c r="P20" s="16">
        <f>CHIDIST(P19,P18)</f>
        <v>0.14355771988397117</v>
      </c>
      <c r="AC20">
        <v>0</v>
      </c>
      <c r="AD20">
        <f t="shared" ref="AD20:AD37" si="4">$I$2/(1+(AC20/$I$5)^$I$3)</f>
        <v>811.2552919668758</v>
      </c>
      <c r="AE20" s="1"/>
      <c r="AG20" s="1"/>
      <c r="AJ20">
        <v>0</v>
      </c>
      <c r="AK20">
        <f t="shared" ref="AK20:AK37" si="5">$I$2/(1+(AJ20/$I$6)^$I$4)</f>
        <v>811.2552919668758</v>
      </c>
      <c r="AM20" s="1"/>
      <c r="AP20" s="1"/>
    </row>
    <row r="21" spans="1:43" x14ac:dyDescent="0.3">
      <c r="A21" s="18" t="s">
        <v>40</v>
      </c>
      <c r="B21" s="12"/>
      <c r="C21" s="13"/>
      <c r="D21" s="12"/>
      <c r="AC21">
        <f t="shared" ref="AC21:AC35" si="6">AC22/$AE$1</f>
        <v>2.9015260114562277E-2</v>
      </c>
      <c r="AD21">
        <f t="shared" si="4"/>
        <v>810.92710994154538</v>
      </c>
      <c r="AE21" s="5"/>
      <c r="AF21" s="3"/>
      <c r="AG21" s="3"/>
      <c r="AH21" s="3"/>
      <c r="AI21" s="3"/>
      <c r="AJ21">
        <f t="shared" ref="AJ21:AJ35" si="7">AJ22/$AN$1</f>
        <v>0.2901526011456228</v>
      </c>
      <c r="AK21">
        <f t="shared" si="5"/>
        <v>635.90230423113064</v>
      </c>
      <c r="AL21" s="3"/>
      <c r="AM21" s="3"/>
      <c r="AN21" s="3"/>
      <c r="AO21" s="3"/>
      <c r="AP21" s="3"/>
      <c r="AQ21" s="3"/>
    </row>
    <row r="22" spans="1:43" x14ac:dyDescent="0.3">
      <c r="A22" s="18" t="s">
        <v>41</v>
      </c>
      <c r="B22" s="12"/>
      <c r="C22" s="12"/>
      <c r="D22" s="12"/>
      <c r="F22" t="s">
        <v>18</v>
      </c>
      <c r="AC22">
        <f t="shared" si="6"/>
        <v>3.7719838148930963E-2</v>
      </c>
      <c r="AD22">
        <f t="shared" si="4"/>
        <v>808.71873595939314</v>
      </c>
      <c r="AE22" s="5"/>
      <c r="AF22" s="3"/>
      <c r="AG22" s="3"/>
      <c r="AH22" s="3"/>
      <c r="AI22" s="3"/>
      <c r="AJ22">
        <f t="shared" si="7"/>
        <v>0.37719838148930962</v>
      </c>
      <c r="AK22">
        <f t="shared" si="5"/>
        <v>626.62541699637802</v>
      </c>
      <c r="AL22" s="3"/>
      <c r="AM22" s="3"/>
      <c r="AN22" s="3"/>
      <c r="AO22" s="3"/>
      <c r="AP22" s="3"/>
      <c r="AQ22" s="3"/>
    </row>
    <row r="23" spans="1:43" x14ac:dyDescent="0.3">
      <c r="A23" s="19" t="s">
        <v>27</v>
      </c>
      <c r="B23" s="19" t="s">
        <v>28</v>
      </c>
      <c r="AC23">
        <f t="shared" si="6"/>
        <v>4.9035789593610254E-2</v>
      </c>
      <c r="AD23">
        <f t="shared" si="4"/>
        <v>792.00276982034188</v>
      </c>
      <c r="AE23" s="5"/>
      <c r="AF23" s="3"/>
      <c r="AG23" s="3"/>
      <c r="AH23" s="3"/>
      <c r="AI23" s="3"/>
      <c r="AJ23">
        <f t="shared" si="7"/>
        <v>0.49035789593610252</v>
      </c>
      <c r="AK23">
        <f t="shared" si="5"/>
        <v>617.00766365567495</v>
      </c>
      <c r="AL23" s="3"/>
      <c r="AM23" s="3"/>
      <c r="AN23" s="3"/>
      <c r="AO23" s="3"/>
      <c r="AP23" s="3"/>
      <c r="AQ23" s="3"/>
    </row>
    <row r="24" spans="1:43" x14ac:dyDescent="0.3">
      <c r="A24" s="12" t="s">
        <v>76</v>
      </c>
      <c r="B24" s="23" t="s">
        <v>71</v>
      </c>
      <c r="C24" s="1" t="s">
        <v>1</v>
      </c>
      <c r="D24" s="1"/>
      <c r="E24" s="1" t="s">
        <v>21</v>
      </c>
      <c r="F24" t="s">
        <v>47</v>
      </c>
      <c r="G24" s="1" t="s">
        <v>56</v>
      </c>
      <c r="H24" s="1"/>
      <c r="I24" s="1" t="s">
        <v>4</v>
      </c>
      <c r="J24" t="s">
        <v>47</v>
      </c>
      <c r="K24" s="1"/>
      <c r="L24" s="1" t="s">
        <v>7</v>
      </c>
      <c r="M24" t="s">
        <v>47</v>
      </c>
      <c r="N24" s="1"/>
      <c r="O24" s="1" t="s">
        <v>8</v>
      </c>
      <c r="P24" t="s">
        <v>47</v>
      </c>
      <c r="AC24">
        <f t="shared" si="6"/>
        <v>6.3746526471693335E-2</v>
      </c>
      <c r="AD24">
        <f t="shared" si="4"/>
        <v>682.64647006374992</v>
      </c>
      <c r="AE24" s="5"/>
      <c r="AF24" s="3"/>
      <c r="AG24" s="3"/>
      <c r="AH24" s="3"/>
      <c r="AI24" s="3"/>
      <c r="AJ24">
        <f t="shared" si="7"/>
        <v>0.63746526471693332</v>
      </c>
      <c r="AK24">
        <f t="shared" si="5"/>
        <v>607.0521690557257</v>
      </c>
      <c r="AL24" s="3"/>
      <c r="AM24" s="3"/>
      <c r="AN24" s="3"/>
      <c r="AO24" s="3"/>
      <c r="AP24" s="3"/>
      <c r="AQ24" s="3"/>
    </row>
    <row r="25" spans="1:43" x14ac:dyDescent="0.3">
      <c r="A25" s="10">
        <v>0</v>
      </c>
      <c r="B25" s="10">
        <v>0</v>
      </c>
      <c r="C25" s="81">
        <v>699</v>
      </c>
      <c r="D25" s="11"/>
      <c r="E25" s="11">
        <f>IA(A25,B25,$E$2,$E$3,$E$4,$E$5,$E$6)</f>
        <v>793.92287987962777</v>
      </c>
      <c r="F25" s="10">
        <f>($C25-E25)^2</f>
        <v>9010.3531246422426</v>
      </c>
      <c r="G25" s="11">
        <f>AVERAGE($C$25:$C$224)</f>
        <v>532.58620689655174</v>
      </c>
      <c r="H25" s="11"/>
      <c r="I25" s="11">
        <f>IA_SA(A25,B25,$I$2,$I$3,$I$4,$I$5,$I$6,$I$7)</f>
        <v>811.2552919668758</v>
      </c>
      <c r="J25" s="10">
        <f>($C25-I25)^2</f>
        <v>12601.25057456853</v>
      </c>
      <c r="K25" s="11"/>
      <c r="L25" s="11">
        <f>IA_DR(A25,B25,$L$2,$L$3,$L$4,$L$5,$L$6,$L$7,$L$8)</f>
        <v>811.6803956411095</v>
      </c>
      <c r="M25" s="10">
        <f>($C25-L25)^2</f>
        <v>12696.871561836968</v>
      </c>
      <c r="N25" s="11"/>
      <c r="O25" s="11">
        <f>IA_DL(A25,B25,$O$2,$O$3,$O$4,$O$5,$O$6,$O$7,$O$8)</f>
        <v>806.32581394474471</v>
      </c>
      <c r="P25" s="10">
        <f>($C25-O25)^2</f>
        <v>11518.830338901958</v>
      </c>
      <c r="Q25" s="3" t="s">
        <v>30</v>
      </c>
      <c r="AC25">
        <f t="shared" si="6"/>
        <v>8.2870484413201342E-2</v>
      </c>
      <c r="AD25">
        <f t="shared" si="4"/>
        <v>329.76233419383016</v>
      </c>
      <c r="AE25" s="5"/>
      <c r="AF25" s="3"/>
      <c r="AG25" s="3"/>
      <c r="AH25" s="3"/>
      <c r="AI25" s="3"/>
      <c r="AJ25">
        <f t="shared" si="7"/>
        <v>0.82870484413201329</v>
      </c>
      <c r="AK25">
        <f t="shared" si="5"/>
        <v>596.76381358332787</v>
      </c>
      <c r="AL25" s="3"/>
      <c r="AM25" s="3"/>
      <c r="AN25" s="3"/>
      <c r="AO25" s="3"/>
      <c r="AP25" s="3"/>
      <c r="AQ25" s="3"/>
    </row>
    <row r="26" spans="1:43" x14ac:dyDescent="0.3">
      <c r="A26" s="10">
        <v>0</v>
      </c>
      <c r="B26" s="10">
        <v>0</v>
      </c>
      <c r="C26" s="81">
        <v>718</v>
      </c>
      <c r="D26" s="11"/>
      <c r="E26" s="11">
        <f t="shared" ref="E26:E44" si="8">IA(A26,B26,$E$2,$E$3,$E$4,$E$5,$E$6)</f>
        <v>793.92287987962777</v>
      </c>
      <c r="F26" s="10">
        <f t="shared" ref="F26:F44" si="9">($C26-E26)^2</f>
        <v>5764.2836892163878</v>
      </c>
      <c r="G26" s="11">
        <f t="shared" ref="G26:G44" si="10">AVERAGE($C$25:$C$224)</f>
        <v>532.58620689655174</v>
      </c>
      <c r="H26" s="11"/>
      <c r="I26" s="11">
        <f t="shared" ref="I26:I44" si="11">IA_SA(A26,B26,$I$2,$I$3,$I$4,$I$5,$I$6,$I$7)</f>
        <v>811.2552919668758</v>
      </c>
      <c r="J26" s="10">
        <f t="shared" ref="J26:J44" si="12">($C26-I26)^2</f>
        <v>8696.5494798272503</v>
      </c>
      <c r="K26" s="11"/>
      <c r="L26" s="11">
        <f t="shared" ref="L26:L44" si="13">IA_DR(A26,B26,$L$2,$L$3,$L$4,$L$5,$L$6,$L$7,$L$8)</f>
        <v>811.6803956411095</v>
      </c>
      <c r="M26" s="10">
        <f t="shared" ref="M26:M44" si="14">($C26-L26)^2</f>
        <v>8776.0165274748069</v>
      </c>
      <c r="N26" s="11"/>
      <c r="O26" s="11">
        <f t="shared" ref="O26:O44" si="15">IA_DL(A26,B26,$O$2,$O$3,$O$4,$O$5,$O$6,$O$7,$O$8)</f>
        <v>806.32581394474471</v>
      </c>
      <c r="P26" s="10">
        <f t="shared" ref="P26:P44" si="16">($C26-O26)^2</f>
        <v>7801.4494090016588</v>
      </c>
      <c r="Q26" s="3"/>
      <c r="AC26">
        <f t="shared" si="6"/>
        <v>0.10773162973716174</v>
      </c>
      <c r="AD26">
        <f t="shared" si="4"/>
        <v>65.868646105734825</v>
      </c>
      <c r="AE26" s="5"/>
      <c r="AF26" s="3"/>
      <c r="AG26" s="3"/>
      <c r="AH26" s="3"/>
      <c r="AI26" s="3"/>
      <c r="AJ26">
        <f t="shared" si="7"/>
        <v>1.0773162973716173</v>
      </c>
      <c r="AK26">
        <f t="shared" si="5"/>
        <v>586.14931687384387</v>
      </c>
      <c r="AL26" s="3"/>
      <c r="AM26" s="3"/>
      <c r="AN26" s="3"/>
      <c r="AO26" s="3"/>
      <c r="AP26" s="3"/>
      <c r="AQ26" s="3"/>
    </row>
    <row r="27" spans="1:43" x14ac:dyDescent="0.3">
      <c r="A27" s="10">
        <v>0</v>
      </c>
      <c r="B27" s="10">
        <v>0</v>
      </c>
      <c r="C27" s="81">
        <v>631</v>
      </c>
      <c r="D27" s="11"/>
      <c r="E27" s="11">
        <f t="shared" si="8"/>
        <v>793.92287987962777</v>
      </c>
      <c r="F27" s="10">
        <f t="shared" si="9"/>
        <v>26543.864788271621</v>
      </c>
      <c r="G27" s="11">
        <f t="shared" si="10"/>
        <v>532.58620689655174</v>
      </c>
      <c r="H27" s="11"/>
      <c r="I27" s="11">
        <f t="shared" si="11"/>
        <v>811.2552919668758</v>
      </c>
      <c r="J27" s="10">
        <f t="shared" si="12"/>
        <v>32491.970282063641</v>
      </c>
      <c r="K27" s="11"/>
      <c r="L27" s="11">
        <f t="shared" si="13"/>
        <v>811.6803956411095</v>
      </c>
      <c r="M27" s="10">
        <f t="shared" si="14"/>
        <v>32645.40536902786</v>
      </c>
      <c r="N27" s="11"/>
      <c r="O27" s="11">
        <f t="shared" si="15"/>
        <v>806.32581394474471</v>
      </c>
      <c r="P27" s="10">
        <f t="shared" si="16"/>
        <v>30739.141035387238</v>
      </c>
      <c r="Q27" s="3"/>
      <c r="AC27">
        <f>AC31/$AE$1</f>
        <v>0.14005111865831027</v>
      </c>
      <c r="AD27">
        <f t="shared" si="4"/>
        <v>9.1456980756360995</v>
      </c>
      <c r="AE27" s="5"/>
      <c r="AF27" s="3"/>
      <c r="AG27" s="3"/>
      <c r="AH27" s="3"/>
      <c r="AI27" s="3"/>
      <c r="AJ27">
        <f>AJ31/$AN$1</f>
        <v>1.4005111865831026</v>
      </c>
      <c r="AK27">
        <f t="shared" si="5"/>
        <v>575.21730568973783</v>
      </c>
      <c r="AL27" s="3"/>
      <c r="AM27" s="3"/>
      <c r="AN27" s="3"/>
      <c r="AO27" s="3"/>
      <c r="AP27" s="3"/>
      <c r="AQ27" s="3"/>
    </row>
    <row r="28" spans="1:43" x14ac:dyDescent="0.3">
      <c r="A28" s="10">
        <v>0</v>
      </c>
      <c r="B28" s="10">
        <v>0</v>
      </c>
      <c r="C28" s="81">
        <v>619</v>
      </c>
      <c r="D28" s="11"/>
      <c r="E28" s="11">
        <f t="shared" si="8"/>
        <v>793.92287987962777</v>
      </c>
      <c r="F28" s="10">
        <f t="shared" si="9"/>
        <v>30598.013905382686</v>
      </c>
      <c r="G28" s="11">
        <f t="shared" si="10"/>
        <v>532.58620689655174</v>
      </c>
      <c r="H28" s="11"/>
      <c r="I28" s="11">
        <f t="shared" si="11"/>
        <v>811.2552919668758</v>
      </c>
      <c r="J28" s="10">
        <f t="shared" si="12"/>
        <v>36962.097289268662</v>
      </c>
      <c r="K28" s="11"/>
      <c r="L28" s="11">
        <f t="shared" si="13"/>
        <v>811.6803956411095</v>
      </c>
      <c r="M28" s="10">
        <f t="shared" si="14"/>
        <v>37125.734864414488</v>
      </c>
      <c r="N28" s="11"/>
      <c r="O28" s="11">
        <f t="shared" si="15"/>
        <v>806.32581394474471</v>
      </c>
      <c r="P28" s="10">
        <f t="shared" si="16"/>
        <v>35090.960570061114</v>
      </c>
      <c r="Q28" s="3"/>
      <c r="AE28" s="5"/>
      <c r="AF28" s="3"/>
      <c r="AG28" s="3"/>
      <c r="AH28" s="3"/>
      <c r="AI28" s="3"/>
      <c r="AL28" s="3"/>
      <c r="AM28" s="3"/>
      <c r="AN28" s="3"/>
      <c r="AO28" s="3"/>
      <c r="AP28" s="3"/>
      <c r="AQ28" s="3"/>
    </row>
    <row r="29" spans="1:43" x14ac:dyDescent="0.3">
      <c r="A29" s="10">
        <v>0</v>
      </c>
      <c r="B29" s="10">
        <v>0</v>
      </c>
      <c r="C29" s="81">
        <v>797</v>
      </c>
      <c r="D29" s="11"/>
      <c r="E29" s="11">
        <f t="shared" si="8"/>
        <v>793.92287987962777</v>
      </c>
      <c r="F29" s="10">
        <f t="shared" si="9"/>
        <v>9.4686682351995977</v>
      </c>
      <c r="G29" s="11">
        <f t="shared" si="10"/>
        <v>532.58620689655174</v>
      </c>
      <c r="H29" s="11"/>
      <c r="I29" s="11">
        <f t="shared" si="11"/>
        <v>811.2552919668758</v>
      </c>
      <c r="J29" s="10">
        <f t="shared" si="12"/>
        <v>203.21334906087378</v>
      </c>
      <c r="K29" s="11"/>
      <c r="L29" s="11">
        <f t="shared" si="13"/>
        <v>811.6803956411095</v>
      </c>
      <c r="M29" s="10">
        <f t="shared" si="14"/>
        <v>215.51401617950677</v>
      </c>
      <c r="N29" s="11"/>
      <c r="O29" s="11">
        <f t="shared" si="15"/>
        <v>806.32581394474471</v>
      </c>
      <c r="P29" s="10">
        <f t="shared" si="16"/>
        <v>86.970805731994872</v>
      </c>
      <c r="Q29" s="3"/>
      <c r="AE29" s="5"/>
      <c r="AF29" s="3"/>
      <c r="AG29" s="3"/>
      <c r="AH29" s="3"/>
      <c r="AI29" s="3"/>
      <c r="AL29" s="3"/>
      <c r="AM29" s="3"/>
      <c r="AN29" s="3"/>
      <c r="AO29" s="3"/>
      <c r="AP29" s="3"/>
      <c r="AQ29" s="3"/>
    </row>
    <row r="30" spans="1:43" x14ac:dyDescent="0.3">
      <c r="A30" s="10">
        <v>0</v>
      </c>
      <c r="B30" s="10">
        <v>0</v>
      </c>
      <c r="C30" s="81">
        <v>704</v>
      </c>
      <c r="D30" s="11"/>
      <c r="E30" s="11">
        <f t="shared" si="8"/>
        <v>793.92287987962777</v>
      </c>
      <c r="F30" s="10">
        <f t="shared" si="9"/>
        <v>8086.1243258459654</v>
      </c>
      <c r="G30" s="11">
        <f t="shared" si="10"/>
        <v>532.58620689655174</v>
      </c>
      <c r="H30" s="11"/>
      <c r="I30" s="11">
        <f t="shared" si="11"/>
        <v>811.2552919668758</v>
      </c>
      <c r="J30" s="10">
        <f t="shared" si="12"/>
        <v>11503.697654899774</v>
      </c>
      <c r="K30" s="11"/>
      <c r="L30" s="11">
        <f t="shared" si="13"/>
        <v>811.6803956411095</v>
      </c>
      <c r="M30" s="10">
        <f t="shared" si="14"/>
        <v>11595.067605425873</v>
      </c>
      <c r="N30" s="11"/>
      <c r="O30" s="11">
        <f t="shared" si="15"/>
        <v>806.32581394474471</v>
      </c>
      <c r="P30" s="10">
        <f t="shared" si="16"/>
        <v>10470.572199454511</v>
      </c>
      <c r="Q30" s="3"/>
      <c r="AE30" s="5"/>
      <c r="AF30" s="3"/>
      <c r="AG30" s="3"/>
      <c r="AH30" s="3"/>
      <c r="AI30" s="3"/>
      <c r="AL30" s="3"/>
      <c r="AM30" s="3"/>
      <c r="AN30" s="3"/>
      <c r="AO30" s="3"/>
      <c r="AP30" s="3"/>
      <c r="AQ30" s="3"/>
    </row>
    <row r="31" spans="1:43" x14ac:dyDescent="0.3">
      <c r="A31" s="10">
        <v>0</v>
      </c>
      <c r="B31" s="10">
        <v>0</v>
      </c>
      <c r="C31" s="81">
        <v>574</v>
      </c>
      <c r="D31" s="11"/>
      <c r="E31" s="11">
        <f t="shared" si="8"/>
        <v>793.92287987962777</v>
      </c>
      <c r="F31" s="10">
        <f t="shared" si="9"/>
        <v>48366.073094549189</v>
      </c>
      <c r="G31" s="11">
        <f t="shared" si="10"/>
        <v>532.58620689655174</v>
      </c>
      <c r="H31" s="11"/>
      <c r="I31" s="11">
        <f t="shared" si="11"/>
        <v>811.2552919668758</v>
      </c>
      <c r="J31" s="10">
        <f t="shared" si="12"/>
        <v>56290.073566287479</v>
      </c>
      <c r="K31" s="11"/>
      <c r="L31" s="11">
        <f t="shared" si="13"/>
        <v>811.6803956411095</v>
      </c>
      <c r="M31" s="10">
        <f t="shared" si="14"/>
        <v>56491.970472114343</v>
      </c>
      <c r="N31" s="11"/>
      <c r="O31" s="11">
        <f t="shared" si="15"/>
        <v>806.32581394474471</v>
      </c>
      <c r="P31" s="10">
        <f t="shared" si="16"/>
        <v>53975.283825088132</v>
      </c>
      <c r="Q31" s="3"/>
      <c r="AC31">
        <f>AC33/$AE$1</f>
        <v>0.18206645425580337</v>
      </c>
      <c r="AD31">
        <f t="shared" si="4"/>
        <v>1.1917584811849748</v>
      </c>
      <c r="AE31" s="5"/>
      <c r="AF31" s="3"/>
      <c r="AG31" s="3"/>
      <c r="AH31" s="3"/>
      <c r="AI31" s="3"/>
      <c r="AJ31">
        <f>AJ33/$AN$1</f>
        <v>1.8206645425580334</v>
      </c>
      <c r="AK31">
        <f t="shared" si="5"/>
        <v>563.97836330938708</v>
      </c>
      <c r="AL31" s="3"/>
      <c r="AM31" s="3"/>
      <c r="AN31" s="3"/>
      <c r="AO31" s="3"/>
      <c r="AP31" s="3"/>
      <c r="AQ31" s="3"/>
    </row>
    <row r="32" spans="1:43" x14ac:dyDescent="0.3">
      <c r="A32" s="10">
        <v>0</v>
      </c>
      <c r="B32" s="10">
        <v>0</v>
      </c>
      <c r="C32" s="81">
        <v>872</v>
      </c>
      <c r="D32" s="11"/>
      <c r="E32" s="11">
        <f t="shared" si="8"/>
        <v>793.92287987962777</v>
      </c>
      <c r="F32" s="10">
        <f t="shared" si="9"/>
        <v>6096.0366862910341</v>
      </c>
      <c r="G32" s="11">
        <f t="shared" si="10"/>
        <v>532.58620689655174</v>
      </c>
      <c r="H32" s="11"/>
      <c r="I32" s="11">
        <f t="shared" si="11"/>
        <v>811.2552919668758</v>
      </c>
      <c r="J32" s="10">
        <f t="shared" si="12"/>
        <v>3689.9195540295036</v>
      </c>
      <c r="K32" s="11"/>
      <c r="L32" s="11">
        <f t="shared" si="13"/>
        <v>811.6803956411095</v>
      </c>
      <c r="M32" s="10">
        <f t="shared" si="14"/>
        <v>3638.4546700130818</v>
      </c>
      <c r="N32" s="11"/>
      <c r="O32" s="11">
        <f t="shared" si="15"/>
        <v>806.32581394474471</v>
      </c>
      <c r="P32" s="10">
        <f t="shared" si="16"/>
        <v>4313.0987140202888</v>
      </c>
      <c r="Q32" s="3"/>
      <c r="AE32" s="5"/>
      <c r="AF32" s="3"/>
      <c r="AG32" s="3"/>
      <c r="AH32" s="3"/>
      <c r="AI32" s="3"/>
      <c r="AL32" s="3"/>
      <c r="AM32" s="3"/>
      <c r="AN32" s="3"/>
      <c r="AO32" s="3"/>
      <c r="AP32" s="3"/>
      <c r="AQ32" s="3"/>
    </row>
    <row r="33" spans="1:43" x14ac:dyDescent="0.3">
      <c r="A33" s="10">
        <v>0</v>
      </c>
      <c r="B33" s="10">
        <v>0</v>
      </c>
      <c r="C33" s="81">
        <v>856</v>
      </c>
      <c r="D33" s="11"/>
      <c r="E33" s="11">
        <f t="shared" si="8"/>
        <v>793.92287987962777</v>
      </c>
      <c r="F33" s="10">
        <f t="shared" si="9"/>
        <v>3853.5688424391224</v>
      </c>
      <c r="G33" s="11">
        <f t="shared" si="10"/>
        <v>532.58620689655174</v>
      </c>
      <c r="H33" s="11"/>
      <c r="I33" s="11">
        <f t="shared" si="11"/>
        <v>811.2552919668758</v>
      </c>
      <c r="J33" s="10">
        <f t="shared" si="12"/>
        <v>2002.0888969695291</v>
      </c>
      <c r="K33" s="11"/>
      <c r="L33" s="11">
        <f t="shared" si="13"/>
        <v>811.6803956411095</v>
      </c>
      <c r="M33" s="10">
        <f t="shared" si="14"/>
        <v>1964.227330528586</v>
      </c>
      <c r="N33" s="11"/>
      <c r="O33" s="11">
        <f t="shared" si="15"/>
        <v>806.32581394474471</v>
      </c>
      <c r="P33" s="10">
        <f t="shared" si="16"/>
        <v>2467.524760252119</v>
      </c>
      <c r="Q33" s="3"/>
      <c r="AC33">
        <f>AC35/$AE$1</f>
        <v>0.23668639053254439</v>
      </c>
      <c r="AD33">
        <f t="shared" si="4"/>
        <v>0.15396794016259568</v>
      </c>
      <c r="AE33" s="5"/>
      <c r="AF33" s="3"/>
      <c r="AG33" s="3"/>
      <c r="AH33" s="3"/>
      <c r="AI33" s="3"/>
      <c r="AJ33">
        <f>AJ35/$AN$1</f>
        <v>2.3668639053254434</v>
      </c>
      <c r="AK33">
        <f t="shared" si="5"/>
        <v>552.44505792501252</v>
      </c>
      <c r="AL33" s="3"/>
      <c r="AM33" s="3"/>
      <c r="AN33" s="3"/>
      <c r="AO33" s="3"/>
      <c r="AP33" s="3"/>
      <c r="AQ33" s="3"/>
    </row>
    <row r="34" spans="1:43" x14ac:dyDescent="0.3">
      <c r="A34" s="10">
        <v>0</v>
      </c>
      <c r="B34" s="10">
        <v>0</v>
      </c>
      <c r="C34" s="81">
        <v>709</v>
      </c>
      <c r="D34" s="11"/>
      <c r="E34" s="11">
        <f t="shared" si="8"/>
        <v>793.92287987962777</v>
      </c>
      <c r="F34" s="10">
        <f t="shared" si="9"/>
        <v>7211.8955270496872</v>
      </c>
      <c r="G34" s="11">
        <f t="shared" si="10"/>
        <v>532.58620689655174</v>
      </c>
      <c r="H34" s="11"/>
      <c r="I34" s="11">
        <f t="shared" si="11"/>
        <v>811.2552919668758</v>
      </c>
      <c r="J34" s="10">
        <f t="shared" si="12"/>
        <v>10456.144735231015</v>
      </c>
      <c r="K34" s="11"/>
      <c r="L34" s="11">
        <f t="shared" si="13"/>
        <v>811.6803956411095</v>
      </c>
      <c r="M34" s="10">
        <f t="shared" si="14"/>
        <v>10543.263649014778</v>
      </c>
      <c r="N34" s="11"/>
      <c r="O34" s="11">
        <f t="shared" si="15"/>
        <v>806.32581394474471</v>
      </c>
      <c r="P34" s="10">
        <f t="shared" si="16"/>
        <v>9472.3140600070637</v>
      </c>
      <c r="Q34" s="3"/>
      <c r="AE34" s="5"/>
      <c r="AF34" s="3"/>
      <c r="AG34" s="3"/>
      <c r="AH34" s="3"/>
      <c r="AI34" s="3"/>
      <c r="AL34" s="3"/>
      <c r="AM34" s="3"/>
      <c r="AN34" s="3"/>
      <c r="AO34" s="3"/>
      <c r="AP34" s="3"/>
      <c r="AQ34" s="3"/>
    </row>
    <row r="35" spans="1:43" x14ac:dyDescent="0.3">
      <c r="A35" s="10">
        <v>0</v>
      </c>
      <c r="B35" s="10">
        <v>0</v>
      </c>
      <c r="C35" s="81">
        <v>836</v>
      </c>
      <c r="D35" s="11"/>
      <c r="E35" s="11">
        <f t="shared" si="8"/>
        <v>793.92287987962777</v>
      </c>
      <c r="F35" s="10">
        <f t="shared" si="9"/>
        <v>1770.4840376242335</v>
      </c>
      <c r="G35" s="11">
        <f t="shared" si="10"/>
        <v>532.58620689655174</v>
      </c>
      <c r="H35" s="11"/>
      <c r="I35" s="11">
        <f t="shared" si="11"/>
        <v>811.2552919668758</v>
      </c>
      <c r="J35" s="10">
        <f t="shared" si="12"/>
        <v>612.30057564456115</v>
      </c>
      <c r="K35" s="11"/>
      <c r="L35" s="11">
        <f t="shared" si="13"/>
        <v>811.6803956411095</v>
      </c>
      <c r="M35" s="10">
        <f t="shared" si="14"/>
        <v>591.44315617296593</v>
      </c>
      <c r="N35" s="11"/>
      <c r="O35" s="11">
        <f t="shared" si="15"/>
        <v>806.32581394474471</v>
      </c>
      <c r="P35" s="10">
        <f t="shared" si="16"/>
        <v>880.55731804190759</v>
      </c>
      <c r="Q35" s="3"/>
      <c r="AC35">
        <f t="shared" si="6"/>
        <v>0.30769230769230771</v>
      </c>
      <c r="AD35">
        <f t="shared" si="4"/>
        <v>1.9869553831991033E-2</v>
      </c>
      <c r="AE35" s="5"/>
      <c r="AF35" s="3"/>
      <c r="AG35" s="3"/>
      <c r="AH35" s="3"/>
      <c r="AI35" s="3"/>
      <c r="AJ35">
        <f t="shared" si="7"/>
        <v>3.0769230769230766</v>
      </c>
      <c r="AK35">
        <f t="shared" si="5"/>
        <v>540.63194780168374</v>
      </c>
      <c r="AL35" s="3"/>
      <c r="AM35" s="3"/>
      <c r="AN35" s="3"/>
      <c r="AO35" s="3"/>
      <c r="AP35" s="3"/>
      <c r="AQ35" s="3"/>
    </row>
    <row r="36" spans="1:43" x14ac:dyDescent="0.3">
      <c r="A36" s="10">
        <v>0</v>
      </c>
      <c r="B36" s="10">
        <v>0</v>
      </c>
      <c r="C36" s="81">
        <v>747</v>
      </c>
      <c r="D36" s="11"/>
      <c r="E36" s="11">
        <f t="shared" si="8"/>
        <v>793.92287987962777</v>
      </c>
      <c r="F36" s="10">
        <f t="shared" si="9"/>
        <v>2201.7566561979766</v>
      </c>
      <c r="G36" s="11">
        <f t="shared" si="10"/>
        <v>532.58620689655174</v>
      </c>
      <c r="H36" s="11"/>
      <c r="I36" s="11">
        <f t="shared" si="11"/>
        <v>811.2552919668758</v>
      </c>
      <c r="J36" s="10">
        <f t="shared" si="12"/>
        <v>4128.7425457484542</v>
      </c>
      <c r="K36" s="11"/>
      <c r="L36" s="11">
        <f t="shared" si="13"/>
        <v>811.6803956411095</v>
      </c>
      <c r="M36" s="10">
        <f t="shared" si="14"/>
        <v>4183.5535802904569</v>
      </c>
      <c r="N36" s="11"/>
      <c r="O36" s="11">
        <f t="shared" si="15"/>
        <v>806.32581394474471</v>
      </c>
      <c r="P36" s="10">
        <f t="shared" si="16"/>
        <v>3519.5522002064658</v>
      </c>
      <c r="Q36" s="3"/>
      <c r="AC36">
        <f>$AC$2</f>
        <v>0.4</v>
      </c>
      <c r="AD36">
        <f t="shared" si="4"/>
        <v>2.5637956115556445E-3</v>
      </c>
      <c r="AE36" s="5"/>
      <c r="AF36" s="3"/>
      <c r="AG36" s="3"/>
      <c r="AH36" s="3"/>
      <c r="AI36" s="3"/>
      <c r="AJ36">
        <f>$AK$2</f>
        <v>4</v>
      </c>
      <c r="AK36">
        <f t="shared" si="5"/>
        <v>528.55556129888203</v>
      </c>
      <c r="AL36" s="3"/>
      <c r="AM36" s="3"/>
      <c r="AN36" s="3"/>
      <c r="AO36" s="3"/>
      <c r="AP36" s="3"/>
      <c r="AQ36" s="3"/>
    </row>
    <row r="37" spans="1:43" x14ac:dyDescent="0.3">
      <c r="A37" s="10">
        <v>0</v>
      </c>
      <c r="B37" s="10">
        <v>0</v>
      </c>
      <c r="C37" s="81">
        <v>868</v>
      </c>
      <c r="D37" s="11"/>
      <c r="E37" s="11">
        <f t="shared" si="8"/>
        <v>793.92287987962777</v>
      </c>
      <c r="F37" s="10">
        <f t="shared" si="9"/>
        <v>5487.4197253280563</v>
      </c>
      <c r="G37" s="11">
        <f t="shared" si="10"/>
        <v>532.58620689655174</v>
      </c>
      <c r="H37" s="11"/>
      <c r="I37" s="11">
        <f t="shared" si="11"/>
        <v>811.2552919668758</v>
      </c>
      <c r="J37" s="10">
        <f t="shared" si="12"/>
        <v>3219.96188976451</v>
      </c>
      <c r="K37" s="11"/>
      <c r="L37" s="11">
        <f t="shared" si="13"/>
        <v>811.6803956411095</v>
      </c>
      <c r="M37" s="10">
        <f t="shared" si="14"/>
        <v>3171.8978351419578</v>
      </c>
      <c r="N37" s="11"/>
      <c r="O37" s="11">
        <f t="shared" si="15"/>
        <v>806.32581394474471</v>
      </c>
      <c r="P37" s="10">
        <f t="shared" si="16"/>
        <v>3803.705225578246</v>
      </c>
      <c r="Q37" s="3"/>
      <c r="AC37">
        <f>AC36*$AE$1</f>
        <v>0.52</v>
      </c>
      <c r="AD37">
        <f t="shared" si="4"/>
        <v>3.3080389566361165E-4</v>
      </c>
      <c r="AE37" s="5"/>
      <c r="AF37" s="3"/>
      <c r="AG37" s="3"/>
      <c r="AH37" s="3"/>
      <c r="AI37" s="3"/>
      <c r="AJ37">
        <f>AJ36*$AN$1</f>
        <v>5.2</v>
      </c>
      <c r="AK37">
        <f t="shared" si="5"/>
        <v>516.23435029966572</v>
      </c>
      <c r="AL37" s="3"/>
      <c r="AM37" s="3"/>
      <c r="AN37" s="3"/>
      <c r="AO37" s="3"/>
      <c r="AP37" s="3"/>
      <c r="AQ37" s="3"/>
    </row>
    <row r="38" spans="1:43" x14ac:dyDescent="0.3">
      <c r="A38" s="10">
        <v>0</v>
      </c>
      <c r="B38" s="10">
        <v>0</v>
      </c>
      <c r="C38" s="81">
        <v>803</v>
      </c>
      <c r="D38" s="11"/>
      <c r="E38" s="11">
        <f t="shared" si="8"/>
        <v>793.92287987962777</v>
      </c>
      <c r="F38" s="10">
        <f t="shared" si="9"/>
        <v>82.394109679666343</v>
      </c>
      <c r="G38" s="11">
        <f t="shared" si="10"/>
        <v>532.58620689655174</v>
      </c>
      <c r="H38" s="11"/>
      <c r="I38" s="11">
        <f t="shared" si="11"/>
        <v>811.2552919668758</v>
      </c>
      <c r="J38" s="10">
        <f t="shared" si="12"/>
        <v>68.149845458364155</v>
      </c>
      <c r="K38" s="11"/>
      <c r="L38" s="11">
        <f t="shared" si="13"/>
        <v>811.6803956411095</v>
      </c>
      <c r="M38" s="10">
        <f t="shared" si="14"/>
        <v>75.349268486192784</v>
      </c>
      <c r="N38" s="11"/>
      <c r="O38" s="11">
        <f t="shared" si="15"/>
        <v>806.32581394474471</v>
      </c>
      <c r="P38" s="10">
        <f t="shared" si="16"/>
        <v>11.061038395058365</v>
      </c>
      <c r="Q38" s="3"/>
      <c r="AE38" s="5"/>
      <c r="AF38" s="3"/>
      <c r="AG38" s="3"/>
      <c r="AH38" s="3"/>
      <c r="AI38" s="3"/>
      <c r="AL38" s="3"/>
      <c r="AM38" s="3"/>
      <c r="AN38" s="3"/>
      <c r="AO38" s="3"/>
      <c r="AP38" s="3"/>
      <c r="AQ38" s="3"/>
    </row>
    <row r="39" spans="1:43" x14ac:dyDescent="0.3">
      <c r="A39" s="10">
        <v>0</v>
      </c>
      <c r="B39" s="10">
        <v>0</v>
      </c>
      <c r="C39" s="81">
        <v>757</v>
      </c>
      <c r="D39" s="11"/>
      <c r="E39" s="11">
        <f t="shared" si="8"/>
        <v>793.92287987962777</v>
      </c>
      <c r="F39" s="10">
        <f t="shared" si="9"/>
        <v>1363.2990586054214</v>
      </c>
      <c r="G39" s="11">
        <f t="shared" si="10"/>
        <v>532.58620689655174</v>
      </c>
      <c r="H39" s="11"/>
      <c r="I39" s="11">
        <f t="shared" si="11"/>
        <v>811.2552919668758</v>
      </c>
      <c r="J39" s="10">
        <f t="shared" si="12"/>
        <v>2943.6367064109381</v>
      </c>
      <c r="K39" s="11"/>
      <c r="L39" s="11">
        <f t="shared" si="13"/>
        <v>811.6803956411095</v>
      </c>
      <c r="M39" s="10">
        <f t="shared" si="14"/>
        <v>2989.9456674682665</v>
      </c>
      <c r="N39" s="11"/>
      <c r="O39" s="11">
        <f t="shared" si="15"/>
        <v>806.32581394474471</v>
      </c>
      <c r="P39" s="10">
        <f t="shared" si="16"/>
        <v>2433.0359213115717</v>
      </c>
      <c r="Q39" s="3"/>
      <c r="AC39" s="5"/>
      <c r="AD39" s="5"/>
      <c r="AE39" s="5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</row>
    <row r="40" spans="1:43" x14ac:dyDescent="0.3">
      <c r="A40" s="10">
        <v>0</v>
      </c>
      <c r="B40" s="10">
        <v>0</v>
      </c>
      <c r="C40" s="81">
        <v>886</v>
      </c>
      <c r="D40" s="11"/>
      <c r="E40" s="11">
        <f t="shared" si="8"/>
        <v>793.92287987962777</v>
      </c>
      <c r="F40" s="10">
        <f t="shared" si="9"/>
        <v>8478.1960496614556</v>
      </c>
      <c r="G40" s="11">
        <f t="shared" si="10"/>
        <v>532.58620689655174</v>
      </c>
      <c r="H40" s="11"/>
      <c r="I40" s="11">
        <f t="shared" si="11"/>
        <v>811.2552919668758</v>
      </c>
      <c r="J40" s="10">
        <f t="shared" si="12"/>
        <v>5586.7713789569807</v>
      </c>
      <c r="K40" s="11"/>
      <c r="L40" s="11">
        <f t="shared" si="13"/>
        <v>811.6803956411095</v>
      </c>
      <c r="M40" s="10">
        <f t="shared" si="14"/>
        <v>5523.4035920620163</v>
      </c>
      <c r="N40" s="11"/>
      <c r="O40" s="11">
        <f t="shared" si="15"/>
        <v>806.32581394474471</v>
      </c>
      <c r="P40" s="10">
        <f t="shared" si="16"/>
        <v>6347.9759235674364</v>
      </c>
      <c r="AC40" s="5"/>
      <c r="AD40" s="5"/>
      <c r="AE40" s="5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</row>
    <row r="41" spans="1:43" x14ac:dyDescent="0.3">
      <c r="A41" s="10">
        <v>0</v>
      </c>
      <c r="B41" s="10">
        <v>0</v>
      </c>
      <c r="C41" s="81">
        <v>694</v>
      </c>
      <c r="D41" s="11"/>
      <c r="E41" s="11">
        <f t="shared" si="8"/>
        <v>793.92287987962777</v>
      </c>
      <c r="F41" s="10">
        <f t="shared" si="9"/>
        <v>9984.5819234385199</v>
      </c>
      <c r="G41" s="11">
        <f t="shared" si="10"/>
        <v>532.58620689655174</v>
      </c>
      <c r="H41" s="11"/>
      <c r="I41" s="11">
        <f t="shared" si="11"/>
        <v>811.2552919668758</v>
      </c>
      <c r="J41" s="10">
        <f t="shared" si="12"/>
        <v>13748.803494237289</v>
      </c>
      <c r="K41" s="11"/>
      <c r="L41" s="11">
        <f t="shared" si="13"/>
        <v>811.6803956411095</v>
      </c>
      <c r="M41" s="10">
        <f t="shared" si="14"/>
        <v>13848.675518248063</v>
      </c>
      <c r="N41" s="11"/>
      <c r="O41" s="11">
        <f t="shared" si="15"/>
        <v>806.32581394474471</v>
      </c>
      <c r="P41" s="10">
        <f t="shared" si="16"/>
        <v>12617.088478349406</v>
      </c>
      <c r="Q41" s="3"/>
      <c r="AD41" t="s">
        <v>0</v>
      </c>
      <c r="AE41" s="5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</row>
    <row r="42" spans="1:43" x14ac:dyDescent="0.3">
      <c r="A42" s="10">
        <v>0</v>
      </c>
      <c r="B42" s="10">
        <v>0</v>
      </c>
      <c r="C42" s="81">
        <v>668</v>
      </c>
      <c r="D42" s="11"/>
      <c r="E42" s="11">
        <f t="shared" si="8"/>
        <v>793.92287987962777</v>
      </c>
      <c r="F42" s="10">
        <f t="shared" si="9"/>
        <v>15856.571677179165</v>
      </c>
      <c r="G42" s="11">
        <f t="shared" si="10"/>
        <v>532.58620689655174</v>
      </c>
      <c r="H42" s="11"/>
      <c r="I42" s="11">
        <f t="shared" si="11"/>
        <v>811.2552919668758</v>
      </c>
      <c r="J42" s="10">
        <f t="shared" si="12"/>
        <v>20522.07867651483</v>
      </c>
      <c r="K42" s="11"/>
      <c r="L42" s="11">
        <f t="shared" si="13"/>
        <v>811.6803956411095</v>
      </c>
      <c r="M42" s="10">
        <f t="shared" si="14"/>
        <v>20644.056091585757</v>
      </c>
      <c r="N42" s="11"/>
      <c r="O42" s="11">
        <f t="shared" si="15"/>
        <v>806.32581394474471</v>
      </c>
      <c r="P42" s="10">
        <f t="shared" si="16"/>
        <v>19134.030803476129</v>
      </c>
      <c r="Q42" s="3"/>
      <c r="AC42">
        <v>0</v>
      </c>
      <c r="AD42">
        <f t="shared" ref="AD42:AD54" si="17">$L$2/(1+(AC42/$L$5)^$L$3)</f>
        <v>811.6803956411095</v>
      </c>
      <c r="AE42" s="5"/>
      <c r="AF42" s="3"/>
      <c r="AG42" s="3"/>
      <c r="AH42" s="3"/>
      <c r="AI42" s="3"/>
      <c r="AK42" t="s">
        <v>0</v>
      </c>
      <c r="AL42" s="3"/>
      <c r="AM42" s="3"/>
      <c r="AN42" s="3"/>
      <c r="AO42" s="3"/>
      <c r="AP42" s="3"/>
      <c r="AQ42" s="3"/>
    </row>
    <row r="43" spans="1:43" x14ac:dyDescent="0.3">
      <c r="A43" s="10">
        <v>0</v>
      </c>
      <c r="B43" s="10">
        <v>0</v>
      </c>
      <c r="C43" s="81">
        <v>989</v>
      </c>
      <c r="D43" s="11"/>
      <c r="E43" s="11">
        <f t="shared" si="8"/>
        <v>793.92287987962777</v>
      </c>
      <c r="F43" s="10">
        <f t="shared" si="9"/>
        <v>38055.082794458132</v>
      </c>
      <c r="G43" s="11">
        <f t="shared" si="10"/>
        <v>532.58620689655174</v>
      </c>
      <c r="H43" s="11"/>
      <c r="I43" s="11">
        <f t="shared" si="11"/>
        <v>811.2552919668758</v>
      </c>
      <c r="J43" s="10">
        <f t="shared" si="12"/>
        <v>31593.181233780564</v>
      </c>
      <c r="K43" s="11"/>
      <c r="L43" s="11">
        <f t="shared" si="13"/>
        <v>811.6803956411095</v>
      </c>
      <c r="M43" s="10">
        <f t="shared" si="14"/>
        <v>31442.242089993459</v>
      </c>
      <c r="N43" s="11"/>
      <c r="O43" s="11">
        <f t="shared" si="15"/>
        <v>806.32581394474471</v>
      </c>
      <c r="P43" s="10">
        <f t="shared" si="16"/>
        <v>33369.858250950027</v>
      </c>
      <c r="Q43" s="3"/>
      <c r="AC43">
        <f t="shared" ref="AC43:AC52" si="18">AC44/$AE$1</f>
        <v>2.9015260114562277E-2</v>
      </c>
      <c r="AD43">
        <f t="shared" si="17"/>
        <v>811.36787563172572</v>
      </c>
      <c r="AE43" s="5"/>
      <c r="AF43" s="3"/>
      <c r="AG43" s="3"/>
      <c r="AH43" s="3"/>
      <c r="AI43" s="3"/>
      <c r="AJ43">
        <v>0</v>
      </c>
      <c r="AK43">
        <f t="shared" ref="AK43:AK55" si="19">$L$2/(1+(AJ43/$L$6)^$L$4)</f>
        <v>811.6803956411095</v>
      </c>
      <c r="AL43" s="3"/>
      <c r="AM43" s="3"/>
      <c r="AN43" s="3"/>
      <c r="AO43" s="3"/>
      <c r="AP43" s="3"/>
      <c r="AQ43" s="3"/>
    </row>
    <row r="44" spans="1:43" x14ac:dyDescent="0.3">
      <c r="A44" s="10">
        <v>0</v>
      </c>
      <c r="B44" s="10">
        <v>0</v>
      </c>
      <c r="C44" s="81">
        <v>592</v>
      </c>
      <c r="D44" s="11"/>
      <c r="E44" s="11">
        <f t="shared" si="8"/>
        <v>793.92287987962777</v>
      </c>
      <c r="F44" s="10">
        <f t="shared" si="9"/>
        <v>40772.849418882586</v>
      </c>
      <c r="G44" s="11">
        <f t="shared" si="10"/>
        <v>532.58620689655174</v>
      </c>
      <c r="H44" s="11"/>
      <c r="I44" s="11">
        <f t="shared" si="11"/>
        <v>811.2552919668758</v>
      </c>
      <c r="J44" s="10">
        <f t="shared" si="12"/>
        <v>48072.88305547995</v>
      </c>
      <c r="K44" s="11"/>
      <c r="L44" s="11">
        <f t="shared" si="13"/>
        <v>811.6803956411095</v>
      </c>
      <c r="M44" s="10">
        <f t="shared" si="14"/>
        <v>48259.476229034401</v>
      </c>
      <c r="N44" s="11"/>
      <c r="O44" s="11">
        <f t="shared" si="15"/>
        <v>806.32581394474471</v>
      </c>
      <c r="P44" s="10">
        <f t="shared" si="16"/>
        <v>45935.554523077328</v>
      </c>
      <c r="Q44" s="3"/>
      <c r="AC44">
        <f t="shared" si="18"/>
        <v>3.7719838148930963E-2</v>
      </c>
      <c r="AD44">
        <f t="shared" si="17"/>
        <v>809.26639139326642</v>
      </c>
      <c r="AE44" s="5"/>
      <c r="AF44" s="3"/>
      <c r="AG44" s="3"/>
      <c r="AH44" s="3"/>
      <c r="AI44" s="3"/>
      <c r="AJ44">
        <f t="shared" ref="AJ44:AJ53" si="20">AJ45/$AN$1</f>
        <v>0.2901526011456228</v>
      </c>
      <c r="AK44">
        <f t="shared" si="19"/>
        <v>643.83669124024425</v>
      </c>
      <c r="AL44" s="3"/>
      <c r="AM44" s="3"/>
      <c r="AN44" s="3"/>
      <c r="AO44" s="3"/>
      <c r="AP44" s="3"/>
      <c r="AQ44" s="3"/>
    </row>
    <row r="45" spans="1:43" x14ac:dyDescent="0.3">
      <c r="A45" s="82">
        <v>2.5000000000000001E-2</v>
      </c>
      <c r="B45" s="12">
        <v>0</v>
      </c>
      <c r="C45" s="83">
        <v>861</v>
      </c>
      <c r="D45" s="13"/>
      <c r="E45" s="13">
        <f>IA(A45,B45,$E$2,$E$3,$E$4,$E$5,$E$6)</f>
        <v>793.61129812830404</v>
      </c>
      <c r="F45" s="13">
        <f>($C45-E45)^2</f>
        <v>4541.2371399523181</v>
      </c>
      <c r="G45" s="13">
        <f>$G$25</f>
        <v>532.58620689655174</v>
      </c>
      <c r="H45" s="13"/>
      <c r="I45" s="13">
        <f>IA_SA(A45,B45,$I$2,$I$3,$I$4,$I$5,$I$6,$I$7)</f>
        <v>811.15264039049623</v>
      </c>
      <c r="J45" s="13">
        <f>($C45-I45)^2</f>
        <v>2484.7592600391877</v>
      </c>
      <c r="K45" s="13"/>
      <c r="L45" s="13">
        <f>IA_DR(A45,B45,$L$2,$L$3,$L$4,$L$5,$L$6,$L$7,$L$8)</f>
        <v>811.5826024261878</v>
      </c>
      <c r="M45" s="13">
        <f>($C45-L45)^2</f>
        <v>2442.0791829682194</v>
      </c>
      <c r="N45" s="13"/>
      <c r="O45" s="13">
        <f>IA_DL(A45,B45,$O$2,$O$3,$O$4,$O$5,$O$6,$O$7,$O$8)</f>
        <v>806.13382537155826</v>
      </c>
      <c r="P45" s="13">
        <f>($C45-O45)^2</f>
        <v>3010.2971183586642</v>
      </c>
      <c r="Q45" s="3" t="s">
        <v>31</v>
      </c>
      <c r="AC45">
        <f t="shared" si="18"/>
        <v>4.9035789593610254E-2</v>
      </c>
      <c r="AD45">
        <f t="shared" si="17"/>
        <v>793.35305181398974</v>
      </c>
      <c r="AE45" s="5"/>
      <c r="AF45" s="3"/>
      <c r="AG45" s="3"/>
      <c r="AH45" s="3"/>
      <c r="AI45" s="3"/>
      <c r="AJ45">
        <f t="shared" si="20"/>
        <v>0.37719838148930962</v>
      </c>
      <c r="AK45">
        <f t="shared" si="19"/>
        <v>633.6288938415945</v>
      </c>
      <c r="AL45" s="3"/>
      <c r="AM45" s="3"/>
      <c r="AN45" s="3"/>
      <c r="AO45" s="3"/>
      <c r="AP45" s="3"/>
      <c r="AQ45" s="3"/>
    </row>
    <row r="46" spans="1:43" x14ac:dyDescent="0.3">
      <c r="A46" s="82">
        <v>2.5000000000000001E-2</v>
      </c>
      <c r="B46" s="12">
        <v>0</v>
      </c>
      <c r="C46" s="83">
        <v>884</v>
      </c>
      <c r="D46" s="13"/>
      <c r="E46" s="13">
        <f t="shared" ref="E46:E69" si="21">IA(A46,B46,$E$2,$E$3,$E$4,$E$5,$E$6)</f>
        <v>793.61129812830404</v>
      </c>
      <c r="F46" s="13">
        <f t="shared" ref="F46:F69" si="22">($C46-E46)^2</f>
        <v>8170.1174260503321</v>
      </c>
      <c r="G46" s="13">
        <f t="shared" ref="G46:G69" si="23">$G$25</f>
        <v>532.58620689655174</v>
      </c>
      <c r="H46" s="13"/>
      <c r="I46" s="13">
        <f t="shared" ref="I46:I69" si="24">IA_SA(A46,B46,$I$2,$I$3,$I$4,$I$5,$I$6,$I$7)</f>
        <v>811.15264039049623</v>
      </c>
      <c r="J46" s="13">
        <f t="shared" ref="J46:J69" si="25">($C46-I46)^2</f>
        <v>5306.7378020763608</v>
      </c>
      <c r="K46" s="13"/>
      <c r="L46" s="13">
        <f t="shared" ref="L46:L69" si="26">IA_DR(A46,B46,$L$2,$L$3,$L$4,$L$5,$L$6,$L$7,$L$8)</f>
        <v>811.5826024261878</v>
      </c>
      <c r="M46" s="13">
        <f t="shared" ref="M46:M69" si="27">($C46-L46)^2</f>
        <v>5244.2794713635803</v>
      </c>
      <c r="N46" s="13"/>
      <c r="O46" s="13">
        <f t="shared" ref="O46:O69" si="28">IA_DL(A46,B46,$O$2,$O$3,$O$4,$O$5,$O$6,$O$7,$O$8)</f>
        <v>806.13382537155826</v>
      </c>
      <c r="P46" s="13">
        <f t="shared" ref="P46:P69" si="29">($C46-O46)^2</f>
        <v>6063.1411512669838</v>
      </c>
      <c r="Q46" s="3"/>
      <c r="AC46">
        <f t="shared" si="18"/>
        <v>6.3746526471693335E-2</v>
      </c>
      <c r="AD46">
        <f t="shared" si="17"/>
        <v>688.50435794800751</v>
      </c>
      <c r="AE46" s="5"/>
      <c r="AF46" s="3"/>
      <c r="AG46" s="3"/>
      <c r="AH46" s="3"/>
      <c r="AI46" s="3"/>
      <c r="AJ46">
        <f t="shared" si="20"/>
        <v>0.49035789593610252</v>
      </c>
      <c r="AK46">
        <f t="shared" si="19"/>
        <v>622.98223552404272</v>
      </c>
      <c r="AL46" s="3"/>
      <c r="AM46" s="3"/>
      <c r="AN46" s="3"/>
      <c r="AO46" s="3"/>
      <c r="AP46" s="3"/>
      <c r="AQ46" s="3"/>
    </row>
    <row r="47" spans="1:43" x14ac:dyDescent="0.3">
      <c r="A47" s="82">
        <v>2.5000000000000001E-2</v>
      </c>
      <c r="B47" s="12">
        <v>0</v>
      </c>
      <c r="C47" s="83">
        <v>763</v>
      </c>
      <c r="D47" s="13"/>
      <c r="E47" s="13">
        <f t="shared" si="21"/>
        <v>793.61129812830404</v>
      </c>
      <c r="F47" s="13">
        <f t="shared" si="22"/>
        <v>937.05157309991057</v>
      </c>
      <c r="G47" s="13">
        <f t="shared" si="23"/>
        <v>532.58620689655174</v>
      </c>
      <c r="H47" s="13"/>
      <c r="I47" s="13">
        <f t="shared" si="24"/>
        <v>811.15264039049623</v>
      </c>
      <c r="J47" s="13">
        <f t="shared" si="25"/>
        <v>2318.6767765764489</v>
      </c>
      <c r="K47" s="13"/>
      <c r="L47" s="13">
        <f t="shared" si="26"/>
        <v>811.5826024261878</v>
      </c>
      <c r="M47" s="13">
        <f t="shared" si="27"/>
        <v>2360.2692585010291</v>
      </c>
      <c r="N47" s="13"/>
      <c r="O47" s="13">
        <f t="shared" si="28"/>
        <v>806.13382537155826</v>
      </c>
      <c r="P47" s="13">
        <f t="shared" si="29"/>
        <v>1860.5268911840831</v>
      </c>
      <c r="Q47" s="3"/>
      <c r="AC47">
        <f t="shared" si="18"/>
        <v>8.2870484413201342E-2</v>
      </c>
      <c r="AD47">
        <f t="shared" si="17"/>
        <v>340.25609975246221</v>
      </c>
      <c r="AE47" s="5"/>
      <c r="AF47" s="3"/>
      <c r="AG47" s="3"/>
      <c r="AH47" s="3"/>
      <c r="AI47" s="3"/>
      <c r="AJ47">
        <f t="shared" si="20"/>
        <v>0.63746526471693332</v>
      </c>
      <c r="AK47">
        <f t="shared" si="19"/>
        <v>611.89968028967996</v>
      </c>
      <c r="AL47" s="3"/>
      <c r="AM47" s="3"/>
      <c r="AN47" s="3"/>
      <c r="AO47" s="3"/>
      <c r="AP47" s="3"/>
      <c r="AQ47" s="3"/>
    </row>
    <row r="48" spans="1:43" x14ac:dyDescent="0.3">
      <c r="A48" s="82">
        <v>2.5000000000000001E-2</v>
      </c>
      <c r="B48" s="12">
        <v>0</v>
      </c>
      <c r="C48" s="83">
        <v>822</v>
      </c>
      <c r="D48" s="13"/>
      <c r="E48" s="13">
        <f t="shared" si="21"/>
        <v>793.61129812830404</v>
      </c>
      <c r="F48" s="13">
        <f t="shared" si="22"/>
        <v>805.91839396003354</v>
      </c>
      <c r="G48" s="13">
        <f t="shared" si="23"/>
        <v>532.58620689655174</v>
      </c>
      <c r="H48" s="13"/>
      <c r="I48" s="13">
        <f t="shared" si="24"/>
        <v>811.15264039049623</v>
      </c>
      <c r="J48" s="13">
        <f t="shared" si="25"/>
        <v>117.66521049789377</v>
      </c>
      <c r="K48" s="13"/>
      <c r="L48" s="13">
        <f t="shared" si="26"/>
        <v>811.5826024261878</v>
      </c>
      <c r="M48" s="13">
        <f t="shared" si="27"/>
        <v>108.52217221086822</v>
      </c>
      <c r="N48" s="13"/>
      <c r="O48" s="13">
        <f t="shared" si="28"/>
        <v>806.13382537155826</v>
      </c>
      <c r="P48" s="13">
        <f t="shared" si="29"/>
        <v>251.73549734020841</v>
      </c>
      <c r="Q48" s="3"/>
      <c r="AC48">
        <f t="shared" si="18"/>
        <v>0.10773162973716174</v>
      </c>
      <c r="AD48">
        <f t="shared" si="17"/>
        <v>69.198010426867512</v>
      </c>
      <c r="AE48" s="5"/>
      <c r="AF48" s="3"/>
      <c r="AG48" s="3"/>
      <c r="AH48" s="3"/>
      <c r="AI48" s="3"/>
      <c r="AJ48">
        <f t="shared" si="20"/>
        <v>0.82870484413201329</v>
      </c>
      <c r="AK48">
        <f t="shared" si="19"/>
        <v>600.38698928186477</v>
      </c>
      <c r="AL48" s="3"/>
      <c r="AM48" s="3"/>
      <c r="AN48" s="3"/>
      <c r="AO48" s="3"/>
      <c r="AP48" s="3"/>
      <c r="AQ48" s="3"/>
    </row>
    <row r="49" spans="1:43" x14ac:dyDescent="0.3">
      <c r="A49" s="82">
        <v>2.5000000000000001E-2</v>
      </c>
      <c r="B49" s="12">
        <v>0</v>
      </c>
      <c r="C49" s="83">
        <v>1051</v>
      </c>
      <c r="D49" s="13"/>
      <c r="E49" s="13">
        <f t="shared" si="21"/>
        <v>793.61129812830404</v>
      </c>
      <c r="F49" s="13">
        <f t="shared" si="22"/>
        <v>66248.943851196789</v>
      </c>
      <c r="G49" s="13">
        <f t="shared" si="23"/>
        <v>532.58620689655174</v>
      </c>
      <c r="H49" s="13"/>
      <c r="I49" s="13">
        <f t="shared" si="24"/>
        <v>811.15264039049623</v>
      </c>
      <c r="J49" s="13">
        <f t="shared" si="25"/>
        <v>57526.755911650624</v>
      </c>
      <c r="K49" s="13"/>
      <c r="L49" s="13">
        <f t="shared" si="26"/>
        <v>811.5826024261878</v>
      </c>
      <c r="M49" s="13">
        <f t="shared" si="27"/>
        <v>57320.690261016854</v>
      </c>
      <c r="N49" s="13"/>
      <c r="O49" s="13">
        <f t="shared" si="28"/>
        <v>806.13382537155826</v>
      </c>
      <c r="P49" s="13">
        <f t="shared" si="29"/>
        <v>59959.443477166526</v>
      </c>
      <c r="Q49" s="3"/>
      <c r="AC49">
        <f t="shared" si="18"/>
        <v>0.14005111865831027</v>
      </c>
      <c r="AD49">
        <f t="shared" si="17"/>
        <v>9.6518546028266492</v>
      </c>
      <c r="AE49" s="5"/>
      <c r="AF49" s="3"/>
      <c r="AG49" s="3"/>
      <c r="AH49" s="3"/>
      <c r="AI49" s="3"/>
      <c r="AJ49">
        <f t="shared" si="20"/>
        <v>1.0773162973716173</v>
      </c>
      <c r="AK49">
        <f t="shared" si="19"/>
        <v>588.45288971015202</v>
      </c>
      <c r="AL49" s="3"/>
      <c r="AM49" s="3"/>
      <c r="AN49" s="3"/>
      <c r="AO49" s="3"/>
      <c r="AP49" s="3"/>
      <c r="AQ49" s="3"/>
    </row>
    <row r="50" spans="1:43" x14ac:dyDescent="0.3">
      <c r="A50" s="82">
        <v>0.05</v>
      </c>
      <c r="B50" s="12">
        <v>0</v>
      </c>
      <c r="C50" s="83">
        <v>937</v>
      </c>
      <c r="D50" s="13"/>
      <c r="E50" s="13">
        <f t="shared" si="21"/>
        <v>767.3096400358022</v>
      </c>
      <c r="F50" s="13">
        <f t="shared" si="22"/>
        <v>28794.818264779024</v>
      </c>
      <c r="G50" s="13">
        <f t="shared" si="23"/>
        <v>532.58620689655174</v>
      </c>
      <c r="H50" s="13"/>
      <c r="I50" s="13">
        <f t="shared" si="24"/>
        <v>788.92966035922984</v>
      </c>
      <c r="J50" s="13">
        <f t="shared" si="25"/>
        <v>21924.825481333031</v>
      </c>
      <c r="K50" s="13"/>
      <c r="L50" s="13">
        <f t="shared" si="26"/>
        <v>790.42477411267657</v>
      </c>
      <c r="M50" s="13">
        <f t="shared" si="27"/>
        <v>21484.296843919888</v>
      </c>
      <c r="N50" s="13"/>
      <c r="O50" s="13">
        <f t="shared" si="28"/>
        <v>779.70783333179122</v>
      </c>
      <c r="P50" s="13">
        <f t="shared" si="29"/>
        <v>24740.82569517957</v>
      </c>
      <c r="Q50" s="3"/>
      <c r="AC50">
        <f t="shared" si="18"/>
        <v>0.18206645425580337</v>
      </c>
      <c r="AD50">
        <f t="shared" si="17"/>
        <v>1.2593462543726353</v>
      </c>
      <c r="AE50" s="5"/>
      <c r="AF50" s="3"/>
      <c r="AG50" s="3"/>
      <c r="AH50" s="3"/>
      <c r="AI50" s="3"/>
      <c r="AJ50">
        <f t="shared" si="20"/>
        <v>1.4005111865831026</v>
      </c>
      <c r="AK50">
        <f t="shared" si="19"/>
        <v>576.10921296531762</v>
      </c>
      <c r="AL50" s="3"/>
      <c r="AM50" s="3"/>
      <c r="AN50" s="3"/>
      <c r="AO50" s="3"/>
      <c r="AP50" s="3"/>
      <c r="AQ50" s="3"/>
    </row>
    <row r="51" spans="1:43" x14ac:dyDescent="0.3">
      <c r="A51" s="82">
        <v>0.05</v>
      </c>
      <c r="B51" s="12">
        <v>0</v>
      </c>
      <c r="C51" s="83">
        <v>821</v>
      </c>
      <c r="D51" s="13"/>
      <c r="E51" s="13">
        <f t="shared" si="21"/>
        <v>767.3096400358022</v>
      </c>
      <c r="F51" s="13">
        <f t="shared" si="22"/>
        <v>2882.6547530851335</v>
      </c>
      <c r="G51" s="13">
        <f t="shared" si="23"/>
        <v>532.58620689655174</v>
      </c>
      <c r="H51" s="13"/>
      <c r="I51" s="13">
        <f t="shared" si="24"/>
        <v>788.92966035922984</v>
      </c>
      <c r="J51" s="13">
        <f t="shared" si="25"/>
        <v>1028.5066846743537</v>
      </c>
      <c r="K51" s="13"/>
      <c r="L51" s="13">
        <f t="shared" si="26"/>
        <v>790.42477411267657</v>
      </c>
      <c r="M51" s="13">
        <f t="shared" si="27"/>
        <v>934.84443806085267</v>
      </c>
      <c r="N51" s="13"/>
      <c r="O51" s="13">
        <f t="shared" si="28"/>
        <v>779.70783333179122</v>
      </c>
      <c r="P51" s="13">
        <f t="shared" si="29"/>
        <v>1705.0430281551321</v>
      </c>
      <c r="Q51" s="3"/>
      <c r="AC51">
        <f t="shared" si="18"/>
        <v>0.23668639053254439</v>
      </c>
      <c r="AD51">
        <f t="shared" si="17"/>
        <v>0.16283428789397342</v>
      </c>
      <c r="AE51" s="5"/>
      <c r="AF51" s="3"/>
      <c r="AG51" s="3"/>
      <c r="AH51" s="3"/>
      <c r="AI51" s="3"/>
      <c r="AJ51">
        <f t="shared" si="20"/>
        <v>1.8206645425580334</v>
      </c>
      <c r="AK51">
        <f t="shared" si="19"/>
        <v>563.37099549769982</v>
      </c>
      <c r="AL51" s="3"/>
      <c r="AM51" s="3"/>
      <c r="AN51" s="3"/>
      <c r="AO51" s="3"/>
      <c r="AP51" s="3"/>
      <c r="AQ51" s="3"/>
    </row>
    <row r="52" spans="1:43" x14ac:dyDescent="0.3">
      <c r="A52" s="82">
        <v>0.05</v>
      </c>
      <c r="B52" s="12">
        <v>0</v>
      </c>
      <c r="C52" s="83">
        <v>971</v>
      </c>
      <c r="D52" s="13"/>
      <c r="E52" s="13">
        <f t="shared" si="21"/>
        <v>767.3096400358022</v>
      </c>
      <c r="F52" s="13">
        <f t="shared" si="22"/>
        <v>41489.762742344472</v>
      </c>
      <c r="G52" s="13">
        <f t="shared" si="23"/>
        <v>532.58620689655174</v>
      </c>
      <c r="H52" s="13"/>
      <c r="I52" s="13">
        <f t="shared" si="24"/>
        <v>788.92966035922984</v>
      </c>
      <c r="J52" s="13">
        <f t="shared" si="25"/>
        <v>33149.608576905404</v>
      </c>
      <c r="K52" s="13"/>
      <c r="L52" s="13">
        <f t="shared" si="26"/>
        <v>790.42477411267657</v>
      </c>
      <c r="M52" s="13">
        <f t="shared" si="27"/>
        <v>32607.412204257882</v>
      </c>
      <c r="N52" s="13"/>
      <c r="O52" s="13">
        <f t="shared" si="28"/>
        <v>779.70783333179122</v>
      </c>
      <c r="P52" s="13">
        <f t="shared" si="29"/>
        <v>36592.693028617767</v>
      </c>
      <c r="Q52" s="3"/>
      <c r="AC52">
        <f t="shared" si="18"/>
        <v>0.30769230769230771</v>
      </c>
      <c r="AD52">
        <f t="shared" si="17"/>
        <v>2.1029804519978247E-2</v>
      </c>
      <c r="AE52" s="5"/>
      <c r="AF52" s="3"/>
      <c r="AG52" s="3"/>
      <c r="AH52" s="3"/>
      <c r="AI52" s="3"/>
      <c r="AJ52">
        <f t="shared" si="20"/>
        <v>2.3668639053254434</v>
      </c>
      <c r="AK52">
        <f t="shared" si="19"/>
        <v>550.2565363844376</v>
      </c>
      <c r="AL52" s="3"/>
      <c r="AM52" s="3"/>
      <c r="AN52" s="3"/>
      <c r="AO52" s="3"/>
      <c r="AP52" s="3"/>
      <c r="AQ52" s="3"/>
    </row>
    <row r="53" spans="1:43" x14ac:dyDescent="0.3">
      <c r="A53" s="82">
        <v>0.05</v>
      </c>
      <c r="B53" s="12">
        <v>0</v>
      </c>
      <c r="C53" s="83">
        <v>861</v>
      </c>
      <c r="D53" s="13"/>
      <c r="E53" s="13">
        <f t="shared" si="21"/>
        <v>767.3096400358022</v>
      </c>
      <c r="F53" s="13">
        <f t="shared" si="22"/>
        <v>8777.8835502209567</v>
      </c>
      <c r="G53" s="13">
        <f t="shared" si="23"/>
        <v>532.58620689655174</v>
      </c>
      <c r="H53" s="13"/>
      <c r="I53" s="13">
        <f t="shared" si="24"/>
        <v>788.92966035922984</v>
      </c>
      <c r="J53" s="13">
        <f t="shared" si="25"/>
        <v>5194.1338559359665</v>
      </c>
      <c r="K53" s="13"/>
      <c r="L53" s="13">
        <f t="shared" si="26"/>
        <v>790.42477411267657</v>
      </c>
      <c r="M53" s="13">
        <f t="shared" si="27"/>
        <v>4980.8625090467267</v>
      </c>
      <c r="N53" s="13"/>
      <c r="O53" s="13">
        <f t="shared" si="28"/>
        <v>779.70783333179122</v>
      </c>
      <c r="P53" s="13">
        <f t="shared" si="29"/>
        <v>6608.416361611834</v>
      </c>
      <c r="Q53" s="3"/>
      <c r="AC53">
        <f>$AC$2</f>
        <v>0.4</v>
      </c>
      <c r="AD53">
        <f t="shared" si="17"/>
        <v>2.7155545396272403E-3</v>
      </c>
      <c r="AE53" s="5"/>
      <c r="AF53" s="3"/>
      <c r="AG53" s="3"/>
      <c r="AH53" s="3"/>
      <c r="AI53" s="3"/>
      <c r="AJ53">
        <f t="shared" si="20"/>
        <v>3.0769230769230766</v>
      </c>
      <c r="AK53">
        <f t="shared" si="19"/>
        <v>536.78740614857998</v>
      </c>
      <c r="AL53" s="3"/>
      <c r="AM53" s="3"/>
      <c r="AN53" s="3"/>
      <c r="AO53" s="3"/>
      <c r="AP53" s="3"/>
      <c r="AQ53" s="3"/>
    </row>
    <row r="54" spans="1:43" x14ac:dyDescent="0.3">
      <c r="A54" s="82">
        <v>0.05</v>
      </c>
      <c r="B54" s="12">
        <v>0</v>
      </c>
      <c r="C54" s="83">
        <v>837</v>
      </c>
      <c r="D54" s="13"/>
      <c r="E54" s="13">
        <f t="shared" si="21"/>
        <v>767.3096400358022</v>
      </c>
      <c r="F54" s="13">
        <f t="shared" si="22"/>
        <v>4856.7462719394634</v>
      </c>
      <c r="G54" s="13">
        <f t="shared" si="23"/>
        <v>532.58620689655174</v>
      </c>
      <c r="H54" s="13"/>
      <c r="I54" s="13">
        <f t="shared" si="24"/>
        <v>788.92966035922984</v>
      </c>
      <c r="J54" s="13">
        <f t="shared" si="25"/>
        <v>2310.7575531789989</v>
      </c>
      <c r="K54" s="13"/>
      <c r="L54" s="13">
        <f t="shared" si="26"/>
        <v>790.42477411267657</v>
      </c>
      <c r="M54" s="13">
        <f t="shared" si="27"/>
        <v>2169.2516664552022</v>
      </c>
      <c r="N54" s="13"/>
      <c r="O54" s="13">
        <f t="shared" si="28"/>
        <v>779.70783333179122</v>
      </c>
      <c r="P54" s="13">
        <f t="shared" si="29"/>
        <v>3282.392361537813</v>
      </c>
      <c r="Q54" s="3"/>
      <c r="AC54" s="5">
        <f>AC53*$AE$1</f>
        <v>0.52</v>
      </c>
      <c r="AD54" s="5">
        <f t="shared" si="17"/>
        <v>3.5064955299782697E-4</v>
      </c>
      <c r="AE54" s="5"/>
      <c r="AF54" s="3"/>
      <c r="AG54" s="3"/>
      <c r="AH54" s="3"/>
      <c r="AI54" s="3"/>
      <c r="AJ54">
        <f>$AK$2</f>
        <v>4</v>
      </c>
      <c r="AK54">
        <f t="shared" si="19"/>
        <v>522.98840232445775</v>
      </c>
      <c r="AL54" s="3"/>
      <c r="AM54" s="3"/>
      <c r="AN54" s="3"/>
      <c r="AO54" s="3"/>
      <c r="AP54" s="3"/>
      <c r="AQ54" s="3"/>
    </row>
    <row r="55" spans="1:43" x14ac:dyDescent="0.3">
      <c r="A55" s="82">
        <v>0.1</v>
      </c>
      <c r="B55" s="12">
        <v>0</v>
      </c>
      <c r="C55" s="83">
        <v>169</v>
      </c>
      <c r="D55" s="13"/>
      <c r="E55" s="13">
        <f t="shared" si="21"/>
        <v>195.35461409905332</v>
      </c>
      <c r="F55" s="13">
        <f t="shared" si="22"/>
        <v>694.56568431002017</v>
      </c>
      <c r="G55" s="13">
        <f t="shared" si="23"/>
        <v>532.58620689655174</v>
      </c>
      <c r="H55" s="13"/>
      <c r="I55" s="13">
        <f t="shared" si="24"/>
        <v>110.70591978031328</v>
      </c>
      <c r="J55" s="13">
        <f t="shared" si="25"/>
        <v>3398.1997886592703</v>
      </c>
      <c r="K55" s="13"/>
      <c r="L55" s="13">
        <f t="shared" si="26"/>
        <v>115.93162265462612</v>
      </c>
      <c r="M55" s="13">
        <f t="shared" si="27"/>
        <v>2816.2526740709914</v>
      </c>
      <c r="N55" s="13"/>
      <c r="O55" s="13">
        <f t="shared" si="28"/>
        <v>136.81649198140025</v>
      </c>
      <c r="P55" s="13">
        <f t="shared" si="29"/>
        <v>1035.7781883832745</v>
      </c>
      <c r="Q55" s="3"/>
      <c r="AC55" s="5"/>
      <c r="AD55" s="5"/>
      <c r="AE55" s="5"/>
      <c r="AF55" s="3"/>
      <c r="AG55" s="3"/>
      <c r="AH55" s="3"/>
      <c r="AI55" s="3"/>
      <c r="AJ55" s="3">
        <f>AJ54*$AN$1</f>
        <v>5.2</v>
      </c>
      <c r="AK55" s="3">
        <f t="shared" si="19"/>
        <v>508.88744848151038</v>
      </c>
      <c r="AL55" s="3"/>
      <c r="AM55" s="3"/>
      <c r="AN55" s="3"/>
      <c r="AO55" s="3"/>
      <c r="AP55" s="3"/>
      <c r="AQ55" s="3"/>
    </row>
    <row r="56" spans="1:43" x14ac:dyDescent="0.3">
      <c r="A56" s="82">
        <v>0.1</v>
      </c>
      <c r="B56" s="12">
        <v>0</v>
      </c>
      <c r="C56" s="83">
        <v>73</v>
      </c>
      <c r="D56" s="13"/>
      <c r="E56" s="13">
        <f t="shared" si="21"/>
        <v>195.35461409905332</v>
      </c>
      <c r="F56" s="13">
        <f t="shared" si="22"/>
        <v>14970.651591328258</v>
      </c>
      <c r="G56" s="13">
        <f t="shared" si="23"/>
        <v>532.58620689655174</v>
      </c>
      <c r="H56" s="13"/>
      <c r="I56" s="13">
        <f t="shared" si="24"/>
        <v>110.70591978031328</v>
      </c>
      <c r="J56" s="13">
        <f t="shared" si="25"/>
        <v>1421.7363864794204</v>
      </c>
      <c r="K56" s="13"/>
      <c r="L56" s="13">
        <f t="shared" si="26"/>
        <v>115.93162265462612</v>
      </c>
      <c r="M56" s="13">
        <f t="shared" si="27"/>
        <v>1843.1242237592071</v>
      </c>
      <c r="N56" s="13"/>
      <c r="O56" s="13">
        <f t="shared" si="28"/>
        <v>136.81649198140025</v>
      </c>
      <c r="P56" s="13">
        <f t="shared" si="29"/>
        <v>4072.544648812122</v>
      </c>
      <c r="Q56" s="3"/>
      <c r="AC56" s="5"/>
      <c r="AD56" s="5"/>
      <c r="AE56" s="5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</row>
    <row r="57" spans="1:43" x14ac:dyDescent="0.3">
      <c r="A57" s="82">
        <v>0.1</v>
      </c>
      <c r="B57" s="12">
        <v>0</v>
      </c>
      <c r="C57" s="83">
        <v>133</v>
      </c>
      <c r="D57" s="13"/>
      <c r="E57" s="13">
        <f t="shared" si="21"/>
        <v>195.35461409905332</v>
      </c>
      <c r="F57" s="13">
        <f t="shared" si="22"/>
        <v>3888.0978994418592</v>
      </c>
      <c r="G57" s="13">
        <f t="shared" si="23"/>
        <v>532.58620689655174</v>
      </c>
      <c r="H57" s="13"/>
      <c r="I57" s="13">
        <f t="shared" si="24"/>
        <v>110.70591978031328</v>
      </c>
      <c r="J57" s="13">
        <f t="shared" si="25"/>
        <v>497.02601284182663</v>
      </c>
      <c r="K57" s="13"/>
      <c r="L57" s="13">
        <f t="shared" si="26"/>
        <v>115.93162265462612</v>
      </c>
      <c r="M57" s="13">
        <f t="shared" si="27"/>
        <v>291.32950520407212</v>
      </c>
      <c r="N57" s="13"/>
      <c r="O57" s="13">
        <f t="shared" si="28"/>
        <v>136.81649198140025</v>
      </c>
      <c r="P57" s="13">
        <f t="shared" si="29"/>
        <v>14.565611044092385</v>
      </c>
      <c r="Q57" s="3"/>
      <c r="AC57" s="5"/>
      <c r="AD57" s="5"/>
      <c r="AE57" s="5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</row>
    <row r="58" spans="1:43" x14ac:dyDescent="0.3">
      <c r="A58" s="82">
        <v>0.1</v>
      </c>
      <c r="B58" s="12">
        <v>0</v>
      </c>
      <c r="C58" s="83">
        <v>101</v>
      </c>
      <c r="D58" s="13"/>
      <c r="E58" s="13">
        <f t="shared" si="21"/>
        <v>195.35461409905332</v>
      </c>
      <c r="F58" s="13">
        <f t="shared" si="22"/>
        <v>8902.7932017812727</v>
      </c>
      <c r="G58" s="13">
        <f t="shared" si="23"/>
        <v>532.58620689655174</v>
      </c>
      <c r="H58" s="13"/>
      <c r="I58" s="13">
        <f t="shared" si="24"/>
        <v>110.70591978031328</v>
      </c>
      <c r="J58" s="13">
        <f t="shared" si="25"/>
        <v>94.204878781876602</v>
      </c>
      <c r="K58" s="13"/>
      <c r="L58" s="13">
        <f t="shared" si="26"/>
        <v>115.93162265462612</v>
      </c>
      <c r="M58" s="13">
        <f t="shared" si="27"/>
        <v>222.95335510014414</v>
      </c>
      <c r="N58" s="13"/>
      <c r="O58" s="13">
        <f t="shared" si="28"/>
        <v>136.81649198140025</v>
      </c>
      <c r="P58" s="13">
        <f t="shared" si="29"/>
        <v>1282.8210978537081</v>
      </c>
      <c r="Q58" s="3"/>
      <c r="AD58" t="s">
        <v>0</v>
      </c>
      <c r="AE58" s="5"/>
      <c r="AF58" s="3"/>
      <c r="AG58" s="3"/>
      <c r="AH58" s="3"/>
      <c r="AI58" s="3"/>
      <c r="AK58" t="s">
        <v>0</v>
      </c>
      <c r="AL58" s="3"/>
      <c r="AM58" s="3"/>
      <c r="AN58" s="3"/>
      <c r="AO58" s="3"/>
      <c r="AP58" s="3"/>
      <c r="AQ58" s="3"/>
    </row>
    <row r="59" spans="1:43" x14ac:dyDescent="0.3">
      <c r="A59" s="82">
        <v>0.1</v>
      </c>
      <c r="B59" s="12">
        <v>0</v>
      </c>
      <c r="C59" s="83">
        <v>324</v>
      </c>
      <c r="D59" s="13"/>
      <c r="E59" s="13">
        <f t="shared" si="21"/>
        <v>195.35461409905332</v>
      </c>
      <c r="F59" s="13">
        <f t="shared" si="22"/>
        <v>16549.635313603489</v>
      </c>
      <c r="G59" s="13">
        <f t="shared" si="23"/>
        <v>532.58620689655174</v>
      </c>
      <c r="H59" s="13"/>
      <c r="I59" s="13">
        <f t="shared" si="24"/>
        <v>110.70591978031328</v>
      </c>
      <c r="J59" s="13">
        <f t="shared" si="25"/>
        <v>45494.364656762154</v>
      </c>
      <c r="K59" s="13"/>
      <c r="L59" s="13">
        <f t="shared" si="26"/>
        <v>115.93162265462612</v>
      </c>
      <c r="M59" s="13">
        <f t="shared" si="27"/>
        <v>43292.449651136892</v>
      </c>
      <c r="N59" s="13"/>
      <c r="O59" s="13">
        <f t="shared" si="28"/>
        <v>136.81649198140025</v>
      </c>
      <c r="P59" s="13">
        <f t="shared" si="29"/>
        <v>35037.665674149197</v>
      </c>
      <c r="Q59" s="3"/>
      <c r="AC59">
        <v>0</v>
      </c>
      <c r="AD59">
        <f t="shared" ref="AD59:AD71" si="30">$O$2/(1+(AC59/$O$5)^$O$3)</f>
        <v>806.32581394474471</v>
      </c>
      <c r="AE59" s="5"/>
      <c r="AF59" s="3"/>
      <c r="AG59" s="3"/>
      <c r="AH59" s="3"/>
      <c r="AI59" s="3"/>
      <c r="AJ59">
        <v>0</v>
      </c>
      <c r="AK59">
        <f t="shared" ref="AK59:AK71" si="31">$O$2/(1+(AJ59/$O$6)^$O$4)</f>
        <v>806.32581394474471</v>
      </c>
      <c r="AL59" s="3"/>
      <c r="AM59" s="3"/>
      <c r="AN59" s="3"/>
      <c r="AO59" s="3"/>
      <c r="AP59" s="3"/>
      <c r="AQ59" s="3"/>
    </row>
    <row r="60" spans="1:43" x14ac:dyDescent="0.3">
      <c r="A60" s="82">
        <v>0.2</v>
      </c>
      <c r="B60" s="12">
        <v>0</v>
      </c>
      <c r="C60" s="83">
        <v>23</v>
      </c>
      <c r="D60" s="13"/>
      <c r="E60" s="13">
        <f t="shared" si="21"/>
        <v>2.9222937489652767</v>
      </c>
      <c r="F60" s="13">
        <f t="shared" si="22"/>
        <v>403.11428830283876</v>
      </c>
      <c r="G60" s="13">
        <f t="shared" si="23"/>
        <v>532.58620689655174</v>
      </c>
      <c r="H60" s="13"/>
      <c r="I60" s="13">
        <f t="shared" si="24"/>
        <v>0.57290208399329945</v>
      </c>
      <c r="J60" s="13">
        <f t="shared" si="25"/>
        <v>502.97472093415212</v>
      </c>
      <c r="K60" s="13"/>
      <c r="L60" s="13">
        <f t="shared" si="26"/>
        <v>0.60558221348923624</v>
      </c>
      <c r="M60" s="13">
        <f t="shared" si="27"/>
        <v>501.50994799678972</v>
      </c>
      <c r="N60" s="13"/>
      <c r="O60" s="13">
        <f t="shared" si="28"/>
        <v>1.1478858787300081</v>
      </c>
      <c r="P60" s="13">
        <f t="shared" si="29"/>
        <v>477.51489156900737</v>
      </c>
      <c r="Q60" s="3"/>
      <c r="AC60">
        <f t="shared" ref="AC60:AC69" si="32">AC61/$AE$1</f>
        <v>2.9015260114562277E-2</v>
      </c>
      <c r="AD60">
        <f t="shared" si="30"/>
        <v>805.76805279756309</v>
      </c>
      <c r="AE60" s="5"/>
      <c r="AF60" s="3"/>
      <c r="AG60" s="3"/>
      <c r="AH60" s="3"/>
      <c r="AI60" s="3"/>
      <c r="AJ60">
        <f t="shared" ref="AJ60:AJ69" si="33">AJ61/$AN$1</f>
        <v>0.2901526011456228</v>
      </c>
      <c r="AK60">
        <f t="shared" si="31"/>
        <v>625.66025501093623</v>
      </c>
      <c r="AL60" s="3"/>
      <c r="AM60" s="3"/>
      <c r="AN60" s="3"/>
      <c r="AO60" s="3"/>
      <c r="AP60" s="3"/>
      <c r="AQ60" s="3"/>
    </row>
    <row r="61" spans="1:43" x14ac:dyDescent="0.3">
      <c r="A61" s="82">
        <v>0.2</v>
      </c>
      <c r="B61" s="12">
        <v>0</v>
      </c>
      <c r="C61" s="83">
        <v>3</v>
      </c>
      <c r="D61" s="13"/>
      <c r="E61" s="13">
        <f t="shared" si="21"/>
        <v>2.9222937489652767</v>
      </c>
      <c r="F61" s="13">
        <f t="shared" si="22"/>
        <v>6.0382614498714331E-3</v>
      </c>
      <c r="G61" s="13">
        <f t="shared" si="23"/>
        <v>532.58620689655174</v>
      </c>
      <c r="H61" s="13"/>
      <c r="I61" s="13">
        <f t="shared" si="24"/>
        <v>0.57290208399329945</v>
      </c>
      <c r="J61" s="13">
        <f t="shared" si="25"/>
        <v>5.8908042938840692</v>
      </c>
      <c r="K61" s="13"/>
      <c r="L61" s="13">
        <f t="shared" si="26"/>
        <v>0.60558221348923624</v>
      </c>
      <c r="M61" s="13">
        <f t="shared" si="27"/>
        <v>5.7332365363591062</v>
      </c>
      <c r="N61" s="13"/>
      <c r="O61" s="13">
        <f t="shared" si="28"/>
        <v>1.1478858787300081</v>
      </c>
      <c r="P61" s="13">
        <f t="shared" si="29"/>
        <v>3.4303267182077142</v>
      </c>
      <c r="Q61" s="3"/>
      <c r="AC61">
        <f t="shared" si="32"/>
        <v>3.7719838148930963E-2</v>
      </c>
      <c r="AD61">
        <f t="shared" si="30"/>
        <v>802.68668650595941</v>
      </c>
      <c r="AE61" s="5"/>
      <c r="AF61" s="3"/>
      <c r="AG61" s="3"/>
      <c r="AH61" s="3"/>
      <c r="AI61" s="3"/>
      <c r="AJ61">
        <f t="shared" si="33"/>
        <v>0.37719838148930962</v>
      </c>
      <c r="AK61">
        <f t="shared" si="31"/>
        <v>617.42200010037993</v>
      </c>
      <c r="AL61" s="3"/>
      <c r="AM61" s="3"/>
      <c r="AN61" s="3"/>
      <c r="AO61" s="3"/>
      <c r="AP61" s="3"/>
      <c r="AQ61" s="3"/>
    </row>
    <row r="62" spans="1:43" x14ac:dyDescent="0.3">
      <c r="A62" s="82">
        <v>0.2</v>
      </c>
      <c r="B62" s="12">
        <v>0</v>
      </c>
      <c r="C62" s="83">
        <v>0</v>
      </c>
      <c r="D62" s="13"/>
      <c r="E62" s="13">
        <f t="shared" si="21"/>
        <v>2.9222937489652767</v>
      </c>
      <c r="F62" s="13">
        <f t="shared" si="22"/>
        <v>8.5398007552415311</v>
      </c>
      <c r="G62" s="13">
        <f t="shared" si="23"/>
        <v>532.58620689655174</v>
      </c>
      <c r="H62" s="13"/>
      <c r="I62" s="13">
        <f t="shared" si="24"/>
        <v>0.57290208399329945</v>
      </c>
      <c r="J62" s="13">
        <f t="shared" si="25"/>
        <v>0.32821679784386554</v>
      </c>
      <c r="K62" s="13"/>
      <c r="L62" s="13">
        <f t="shared" si="26"/>
        <v>0.60558221348923624</v>
      </c>
      <c r="M62" s="13">
        <f t="shared" si="27"/>
        <v>0.36672981729452292</v>
      </c>
      <c r="N62" s="13"/>
      <c r="O62" s="13">
        <f t="shared" si="28"/>
        <v>1.1478858787300081</v>
      </c>
      <c r="P62" s="13">
        <f t="shared" si="29"/>
        <v>1.317641990587763</v>
      </c>
      <c r="Q62" s="3"/>
      <c r="AC62">
        <f t="shared" si="32"/>
        <v>4.9035789593610254E-2</v>
      </c>
      <c r="AD62">
        <f t="shared" si="30"/>
        <v>783.07347169620482</v>
      </c>
      <c r="AE62" s="5"/>
      <c r="AF62" s="3"/>
      <c r="AG62" s="3"/>
      <c r="AH62" s="3"/>
      <c r="AI62" s="3"/>
      <c r="AJ62">
        <f t="shared" si="33"/>
        <v>0.49035789593610252</v>
      </c>
      <c r="AK62">
        <f t="shared" si="31"/>
        <v>608.92660788245746</v>
      </c>
      <c r="AL62" s="3"/>
      <c r="AM62" s="3"/>
      <c r="AN62" s="3"/>
      <c r="AO62" s="3"/>
      <c r="AP62" s="3"/>
      <c r="AQ62" s="3"/>
    </row>
    <row r="63" spans="1:43" x14ac:dyDescent="0.3">
      <c r="A63" s="82">
        <v>0.2</v>
      </c>
      <c r="B63" s="12">
        <v>0</v>
      </c>
      <c r="C63" s="83">
        <v>0</v>
      </c>
      <c r="D63" s="13"/>
      <c r="E63" s="13">
        <f t="shared" si="21"/>
        <v>2.9222937489652767</v>
      </c>
      <c r="F63" s="13">
        <f t="shared" si="22"/>
        <v>8.5398007552415311</v>
      </c>
      <c r="G63" s="13">
        <f t="shared" si="23"/>
        <v>532.58620689655174</v>
      </c>
      <c r="H63" s="13"/>
      <c r="I63" s="13">
        <f t="shared" si="24"/>
        <v>0.57290208399329945</v>
      </c>
      <c r="J63" s="13">
        <f t="shared" si="25"/>
        <v>0.32821679784386554</v>
      </c>
      <c r="K63" s="13"/>
      <c r="L63" s="13">
        <f t="shared" si="26"/>
        <v>0.60558221348923624</v>
      </c>
      <c r="M63" s="13">
        <f t="shared" si="27"/>
        <v>0.36672981729452292</v>
      </c>
      <c r="N63" s="13"/>
      <c r="O63" s="13">
        <f t="shared" si="28"/>
        <v>1.1478858787300081</v>
      </c>
      <c r="P63" s="13">
        <f t="shared" si="29"/>
        <v>1.317641990587763</v>
      </c>
      <c r="Q63" s="3"/>
      <c r="AC63">
        <f t="shared" si="32"/>
        <v>6.3746526471693335E-2</v>
      </c>
      <c r="AD63">
        <f t="shared" si="30"/>
        <v>675.04281101873119</v>
      </c>
      <c r="AE63" s="5"/>
      <c r="AF63" s="3"/>
      <c r="AG63" s="3"/>
      <c r="AH63" s="3"/>
      <c r="AI63" s="3"/>
      <c r="AJ63">
        <f t="shared" si="33"/>
        <v>0.63746526471693332</v>
      </c>
      <c r="AK63">
        <f t="shared" si="31"/>
        <v>600.17672365791748</v>
      </c>
      <c r="AL63" s="3"/>
      <c r="AM63" s="3"/>
      <c r="AN63" s="3"/>
      <c r="AO63" s="3"/>
      <c r="AP63" s="3"/>
      <c r="AQ63" s="3"/>
    </row>
    <row r="64" spans="1:43" x14ac:dyDescent="0.3">
      <c r="A64" s="82">
        <v>0.2</v>
      </c>
      <c r="B64" s="12">
        <v>0</v>
      </c>
      <c r="C64" s="83">
        <v>8</v>
      </c>
      <c r="D64" s="13"/>
      <c r="E64" s="13">
        <f t="shared" si="21"/>
        <v>2.9222937489652767</v>
      </c>
      <c r="F64" s="13">
        <f t="shared" si="22"/>
        <v>25.783100771797098</v>
      </c>
      <c r="G64" s="13">
        <f t="shared" si="23"/>
        <v>532.58620689655174</v>
      </c>
      <c r="H64" s="13"/>
      <c r="I64" s="13">
        <f t="shared" si="24"/>
        <v>0.57290208399329945</v>
      </c>
      <c r="J64" s="13">
        <f t="shared" si="25"/>
        <v>55.161783453951074</v>
      </c>
      <c r="K64" s="13"/>
      <c r="L64" s="13">
        <f t="shared" si="26"/>
        <v>0.60558221348923624</v>
      </c>
      <c r="M64" s="13">
        <f t="shared" si="27"/>
        <v>54.677414401466741</v>
      </c>
      <c r="N64" s="13"/>
      <c r="O64" s="13">
        <f t="shared" si="28"/>
        <v>1.1478858787300081</v>
      </c>
      <c r="P64" s="13">
        <f t="shared" si="29"/>
        <v>46.951467930907633</v>
      </c>
      <c r="Q64" s="3"/>
      <c r="AC64">
        <f t="shared" si="32"/>
        <v>8.2870484413201342E-2</v>
      </c>
      <c r="AD64">
        <f t="shared" si="30"/>
        <v>354.62104248154014</v>
      </c>
      <c r="AE64" s="5"/>
      <c r="AF64" s="3"/>
      <c r="AG64" s="3"/>
      <c r="AH64" s="3"/>
      <c r="AI64" s="3"/>
      <c r="AJ64">
        <f t="shared" si="33"/>
        <v>0.82870484413201329</v>
      </c>
      <c r="AK64">
        <f t="shared" si="31"/>
        <v>591.17602968555127</v>
      </c>
      <c r="AL64" s="3"/>
      <c r="AM64" s="3"/>
      <c r="AN64" s="3"/>
      <c r="AO64" s="3"/>
      <c r="AP64" s="3"/>
      <c r="AQ64" s="3"/>
    </row>
    <row r="65" spans="1:43" x14ac:dyDescent="0.3">
      <c r="A65" s="82">
        <v>0.4</v>
      </c>
      <c r="B65" s="12">
        <v>0</v>
      </c>
      <c r="C65" s="83">
        <v>0</v>
      </c>
      <c r="D65" s="13"/>
      <c r="E65" s="13">
        <f t="shared" si="21"/>
        <v>3.3200475099985992E-2</v>
      </c>
      <c r="F65" s="13">
        <f t="shared" si="22"/>
        <v>1.1022715468647899E-3</v>
      </c>
      <c r="G65" s="13">
        <f t="shared" si="23"/>
        <v>532.58620689655174</v>
      </c>
      <c r="H65" s="13"/>
      <c r="I65" s="13">
        <f t="shared" si="24"/>
        <v>2.5637956115556462E-3</v>
      </c>
      <c r="J65" s="13">
        <f t="shared" si="25"/>
        <v>6.5730479378319898E-6</v>
      </c>
      <c r="K65" s="13"/>
      <c r="L65" s="13">
        <f t="shared" si="26"/>
        <v>2.715554539627239E-3</v>
      </c>
      <c r="M65" s="13">
        <f t="shared" si="27"/>
        <v>7.3742364576901058E-6</v>
      </c>
      <c r="N65" s="13"/>
      <c r="O65" s="13">
        <f t="shared" si="28"/>
        <v>8.0193307473282981E-3</v>
      </c>
      <c r="P65" s="13">
        <f t="shared" si="29"/>
        <v>6.4309665635045045E-5</v>
      </c>
      <c r="Q65" s="3"/>
      <c r="AC65">
        <f t="shared" si="32"/>
        <v>0.10773162973716174</v>
      </c>
      <c r="AD65">
        <f t="shared" si="30"/>
        <v>86.306051891995622</v>
      </c>
      <c r="AE65" s="5"/>
      <c r="AF65" s="3"/>
      <c r="AG65" s="3"/>
      <c r="AH65" s="3"/>
      <c r="AI65" s="3"/>
      <c r="AJ65">
        <f t="shared" si="33"/>
        <v>1.0773162973716173</v>
      </c>
      <c r="AK65">
        <f t="shared" si="31"/>
        <v>581.92928461534996</v>
      </c>
      <c r="AL65" s="3"/>
      <c r="AM65" s="3"/>
      <c r="AN65" s="3"/>
      <c r="AO65" s="3"/>
      <c r="AP65" s="3"/>
      <c r="AQ65" s="3"/>
    </row>
    <row r="66" spans="1:43" x14ac:dyDescent="0.3">
      <c r="A66" s="82">
        <v>0.4</v>
      </c>
      <c r="B66" s="12">
        <v>0</v>
      </c>
      <c r="C66" s="83">
        <v>0</v>
      </c>
      <c r="D66" s="13"/>
      <c r="E66" s="13">
        <f t="shared" si="21"/>
        <v>3.3200475099985992E-2</v>
      </c>
      <c r="F66" s="13">
        <f t="shared" si="22"/>
        <v>1.1022715468647899E-3</v>
      </c>
      <c r="G66" s="13">
        <f t="shared" si="23"/>
        <v>532.58620689655174</v>
      </c>
      <c r="H66" s="13"/>
      <c r="I66" s="13">
        <f t="shared" si="24"/>
        <v>2.5637956115556462E-3</v>
      </c>
      <c r="J66" s="13">
        <f t="shared" si="25"/>
        <v>6.5730479378319898E-6</v>
      </c>
      <c r="K66" s="13"/>
      <c r="L66" s="13">
        <f t="shared" si="26"/>
        <v>2.715554539627239E-3</v>
      </c>
      <c r="M66" s="13">
        <f t="shared" si="27"/>
        <v>7.3742364576901058E-6</v>
      </c>
      <c r="N66" s="13"/>
      <c r="O66" s="13">
        <f t="shared" si="28"/>
        <v>8.0193307473282981E-3</v>
      </c>
      <c r="P66" s="13">
        <f t="shared" si="29"/>
        <v>6.4309665635045045E-5</v>
      </c>
      <c r="Q66" s="3"/>
      <c r="AC66">
        <f t="shared" si="32"/>
        <v>0.14005111865831027</v>
      </c>
      <c r="AD66">
        <f t="shared" si="30"/>
        <v>14.491657939333122</v>
      </c>
      <c r="AE66" s="5"/>
      <c r="AF66" s="3"/>
      <c r="AG66" s="3"/>
      <c r="AH66" s="3"/>
      <c r="AI66" s="3"/>
      <c r="AJ66">
        <f t="shared" si="33"/>
        <v>1.4005111865831026</v>
      </c>
      <c r="AK66">
        <f t="shared" si="31"/>
        <v>572.44235557234276</v>
      </c>
      <c r="AL66" s="3"/>
      <c r="AM66" s="3"/>
      <c r="AN66" s="3"/>
      <c r="AO66" s="3"/>
      <c r="AP66" s="3"/>
      <c r="AQ66" s="3"/>
    </row>
    <row r="67" spans="1:43" x14ac:dyDescent="0.3">
      <c r="A67" s="82">
        <v>0.4</v>
      </c>
      <c r="B67" s="12">
        <v>0</v>
      </c>
      <c r="C67" s="83">
        <v>0</v>
      </c>
      <c r="D67" s="13"/>
      <c r="E67" s="13">
        <f t="shared" si="21"/>
        <v>3.3200475099985992E-2</v>
      </c>
      <c r="F67" s="13">
        <f t="shared" si="22"/>
        <v>1.1022715468647899E-3</v>
      </c>
      <c r="G67" s="13">
        <f t="shared" si="23"/>
        <v>532.58620689655174</v>
      </c>
      <c r="H67" s="13"/>
      <c r="I67" s="13">
        <f t="shared" si="24"/>
        <v>2.5637956115556462E-3</v>
      </c>
      <c r="J67" s="13">
        <f t="shared" si="25"/>
        <v>6.5730479378319898E-6</v>
      </c>
      <c r="K67" s="13"/>
      <c r="L67" s="13">
        <f t="shared" si="26"/>
        <v>2.715554539627239E-3</v>
      </c>
      <c r="M67" s="13">
        <f t="shared" si="27"/>
        <v>7.3742364576901058E-6</v>
      </c>
      <c r="N67" s="13"/>
      <c r="O67" s="13">
        <f t="shared" si="28"/>
        <v>8.0193307473282981E-3</v>
      </c>
      <c r="P67" s="13">
        <f t="shared" si="29"/>
        <v>6.4309665635045045E-5</v>
      </c>
      <c r="Q67" s="3"/>
      <c r="AC67">
        <f t="shared" si="32"/>
        <v>0.18206645425580337</v>
      </c>
      <c r="AD67">
        <f t="shared" si="30"/>
        <v>2.2468266461870026</v>
      </c>
      <c r="AE67" s="5"/>
      <c r="AF67" s="3"/>
      <c r="AG67" s="3"/>
      <c r="AH67" s="3"/>
      <c r="AI67" s="3"/>
      <c r="AJ67">
        <f t="shared" si="33"/>
        <v>1.8206645425580334</v>
      </c>
      <c r="AK67">
        <f t="shared" si="31"/>
        <v>562.72224187776987</v>
      </c>
      <c r="AL67" s="3"/>
      <c r="AM67" s="3"/>
      <c r="AN67" s="3"/>
      <c r="AO67" s="3"/>
      <c r="AP67" s="3"/>
      <c r="AQ67" s="3"/>
    </row>
    <row r="68" spans="1:43" x14ac:dyDescent="0.3">
      <c r="A68" s="82">
        <v>0.4</v>
      </c>
      <c r="B68" s="12">
        <v>0</v>
      </c>
      <c r="C68" s="83">
        <v>0</v>
      </c>
      <c r="D68" s="13"/>
      <c r="E68" s="13">
        <f t="shared" si="21"/>
        <v>3.3200475099985992E-2</v>
      </c>
      <c r="F68" s="13">
        <f t="shared" si="22"/>
        <v>1.1022715468647899E-3</v>
      </c>
      <c r="G68" s="13">
        <f t="shared" si="23"/>
        <v>532.58620689655174</v>
      </c>
      <c r="H68" s="13"/>
      <c r="I68" s="13">
        <f t="shared" si="24"/>
        <v>2.5637956115556462E-3</v>
      </c>
      <c r="J68" s="13">
        <f t="shared" si="25"/>
        <v>6.5730479378319898E-6</v>
      </c>
      <c r="K68" s="13"/>
      <c r="L68" s="13">
        <f t="shared" si="26"/>
        <v>2.715554539627239E-3</v>
      </c>
      <c r="M68" s="13">
        <f t="shared" si="27"/>
        <v>7.3742364576901058E-6</v>
      </c>
      <c r="N68" s="13"/>
      <c r="O68" s="13">
        <f t="shared" si="28"/>
        <v>8.0193307473282981E-3</v>
      </c>
      <c r="P68" s="13">
        <f t="shared" si="29"/>
        <v>6.4309665635045045E-5</v>
      </c>
      <c r="Q68" s="3"/>
      <c r="AC68">
        <f t="shared" si="32"/>
        <v>0.23668639053254439</v>
      </c>
      <c r="AD68">
        <f t="shared" si="30"/>
        <v>0.3438612041276769</v>
      </c>
      <c r="AE68" s="5"/>
      <c r="AF68" s="3"/>
      <c r="AG68" s="3"/>
      <c r="AH68" s="3"/>
      <c r="AI68" s="3"/>
      <c r="AJ68">
        <f t="shared" si="33"/>
        <v>2.3668639053254434</v>
      </c>
      <c r="AK68">
        <f t="shared" si="31"/>
        <v>552.77708945325332</v>
      </c>
      <c r="AL68" s="3"/>
      <c r="AM68" s="3"/>
      <c r="AN68" s="3"/>
      <c r="AO68" s="3"/>
      <c r="AP68" s="3"/>
      <c r="AQ68" s="3"/>
    </row>
    <row r="69" spans="1:43" x14ac:dyDescent="0.3">
      <c r="A69" s="82">
        <v>0.4</v>
      </c>
      <c r="B69" s="12">
        <v>0</v>
      </c>
      <c r="C69" s="83">
        <v>0</v>
      </c>
      <c r="D69" s="13"/>
      <c r="E69" s="13">
        <f t="shared" si="21"/>
        <v>3.3200475099985992E-2</v>
      </c>
      <c r="F69" s="13">
        <f t="shared" si="22"/>
        <v>1.1022715468647899E-3</v>
      </c>
      <c r="G69" s="13">
        <f t="shared" si="23"/>
        <v>532.58620689655174</v>
      </c>
      <c r="H69" s="13"/>
      <c r="I69" s="13">
        <f t="shared" si="24"/>
        <v>2.5637956115556462E-3</v>
      </c>
      <c r="J69" s="13">
        <f t="shared" si="25"/>
        <v>6.5730479378319898E-6</v>
      </c>
      <c r="K69" s="13"/>
      <c r="L69" s="13">
        <f t="shared" si="26"/>
        <v>2.715554539627239E-3</v>
      </c>
      <c r="M69" s="13">
        <f t="shared" si="27"/>
        <v>7.3742364576901058E-6</v>
      </c>
      <c r="N69" s="13"/>
      <c r="O69" s="13">
        <f t="shared" si="28"/>
        <v>8.0193307473282981E-3</v>
      </c>
      <c r="P69" s="13">
        <f t="shared" si="29"/>
        <v>6.4309665635045045E-5</v>
      </c>
      <c r="Q69" s="3"/>
      <c r="AC69">
        <f t="shared" si="32"/>
        <v>0.30769230769230771</v>
      </c>
      <c r="AD69">
        <f t="shared" si="30"/>
        <v>5.2520293776622463E-2</v>
      </c>
      <c r="AE69" s="5"/>
      <c r="AF69" s="3"/>
      <c r="AG69" s="3"/>
      <c r="AH69" s="3"/>
      <c r="AI69" s="3"/>
      <c r="AJ69">
        <f t="shared" si="33"/>
        <v>3.0769230769230766</v>
      </c>
      <c r="AK69">
        <f t="shared" si="31"/>
        <v>542.61619504055273</v>
      </c>
      <c r="AL69" s="3"/>
      <c r="AM69" s="3"/>
      <c r="AN69" s="3"/>
      <c r="AO69" s="3"/>
      <c r="AP69" s="3"/>
      <c r="AQ69" s="3"/>
    </row>
    <row r="70" spans="1:43" x14ac:dyDescent="0.3">
      <c r="A70" s="12"/>
      <c r="B70" s="12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3"/>
      <c r="AC70">
        <f>$AC$2</f>
        <v>0.4</v>
      </c>
      <c r="AD70">
        <f t="shared" si="30"/>
        <v>8.0193307473282929E-3</v>
      </c>
      <c r="AE70" s="5"/>
      <c r="AF70" s="3"/>
      <c r="AG70" s="3"/>
      <c r="AH70" s="3"/>
      <c r="AI70" s="3"/>
      <c r="AJ70">
        <f>$AK$2</f>
        <v>4</v>
      </c>
      <c r="AK70">
        <f t="shared" si="31"/>
        <v>532.24999948482241</v>
      </c>
      <c r="AL70" s="3"/>
      <c r="AM70" s="3"/>
      <c r="AN70" s="3"/>
      <c r="AO70" s="3"/>
      <c r="AP70" s="3"/>
      <c r="AQ70" s="3"/>
    </row>
    <row r="71" spans="1:43" x14ac:dyDescent="0.3">
      <c r="A71" s="12"/>
      <c r="B71" s="12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3"/>
      <c r="AC71" s="5">
        <f>AC70*$AE$1</f>
        <v>0.52</v>
      </c>
      <c r="AD71" s="5">
        <f t="shared" si="30"/>
        <v>1.2244154335675202E-3</v>
      </c>
      <c r="AE71" s="5"/>
      <c r="AF71" s="3"/>
      <c r="AG71" s="3"/>
      <c r="AH71" s="3"/>
      <c r="AI71" s="3"/>
      <c r="AJ71" s="3">
        <f>AJ70*$AN$1</f>
        <v>5.2</v>
      </c>
      <c r="AK71" s="3">
        <f t="shared" si="31"/>
        <v>521.69006947246294</v>
      </c>
      <c r="AL71" s="3"/>
      <c r="AM71" s="3"/>
      <c r="AN71" s="3"/>
      <c r="AO71" s="3"/>
      <c r="AP71" s="3"/>
      <c r="AQ71" s="3"/>
    </row>
    <row r="72" spans="1:43" x14ac:dyDescent="0.3">
      <c r="A72" s="12"/>
      <c r="B72" s="12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3"/>
      <c r="AC72" s="5"/>
      <c r="AD72" s="5"/>
      <c r="AE72" s="5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</row>
    <row r="73" spans="1:43" x14ac:dyDescent="0.3">
      <c r="A73" s="12"/>
      <c r="B73" s="12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3"/>
      <c r="AC73" s="5"/>
      <c r="AD73" s="5"/>
      <c r="AE73" s="5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</row>
    <row r="74" spans="1:43" x14ac:dyDescent="0.3">
      <c r="A74" s="12"/>
      <c r="B74" s="12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3"/>
      <c r="AC74" s="5"/>
      <c r="AD74" s="5"/>
      <c r="AE74" s="5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</row>
    <row r="75" spans="1:43" x14ac:dyDescent="0.3">
      <c r="A75" s="12"/>
      <c r="B75" s="12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3"/>
      <c r="AC75" s="5"/>
      <c r="AD75" s="5"/>
      <c r="AE75" s="5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</row>
    <row r="76" spans="1:43" x14ac:dyDescent="0.3">
      <c r="A76" s="12"/>
      <c r="B76" s="12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AC76" s="5"/>
      <c r="AD76" s="5"/>
      <c r="AE76" s="5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</row>
    <row r="77" spans="1:43" x14ac:dyDescent="0.3">
      <c r="A77" s="12"/>
      <c r="B77" s="12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3"/>
      <c r="AC77" s="5"/>
      <c r="AD77" s="5"/>
      <c r="AE77" s="5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</row>
    <row r="78" spans="1:43" x14ac:dyDescent="0.3">
      <c r="A78" s="12"/>
      <c r="B78" s="12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3"/>
      <c r="AC78" s="5"/>
      <c r="AD78" s="5"/>
      <c r="AE78" s="5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</row>
    <row r="79" spans="1:43" x14ac:dyDescent="0.3">
      <c r="A79" s="12"/>
      <c r="B79" s="12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3"/>
      <c r="AC79" s="5"/>
      <c r="AD79" s="5"/>
      <c r="AE79" s="5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</row>
    <row r="80" spans="1:43" x14ac:dyDescent="0.3">
      <c r="A80" s="12"/>
      <c r="B80" s="12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3"/>
      <c r="AC80" s="5"/>
      <c r="AD80" s="5"/>
      <c r="AE80" s="5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</row>
    <row r="81" spans="1:43" x14ac:dyDescent="0.3">
      <c r="A81" s="12"/>
      <c r="B81" s="12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3"/>
      <c r="AC81" s="5"/>
      <c r="AD81" s="5"/>
      <c r="AE81" s="5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</row>
    <row r="82" spans="1:43" x14ac:dyDescent="0.3">
      <c r="A82" s="12"/>
      <c r="B82" s="12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3"/>
      <c r="AC82" s="5"/>
      <c r="AD82" s="5"/>
      <c r="AE82" s="5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</row>
    <row r="83" spans="1:43" x14ac:dyDescent="0.3">
      <c r="A83" s="12"/>
      <c r="B83" s="12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3"/>
      <c r="AC83" s="5"/>
      <c r="AD83" s="5"/>
      <c r="AE83" s="5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</row>
    <row r="84" spans="1:43" x14ac:dyDescent="0.3">
      <c r="A84" s="12"/>
      <c r="B84" s="12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3"/>
      <c r="AC84" s="5"/>
      <c r="AD84" s="5"/>
      <c r="AE84" s="5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</row>
    <row r="85" spans="1:43" x14ac:dyDescent="0.3">
      <c r="A85" s="12"/>
      <c r="B85" s="12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3"/>
      <c r="AC85" s="5"/>
      <c r="AD85" s="5"/>
      <c r="AE85" s="5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</row>
    <row r="86" spans="1:43" x14ac:dyDescent="0.3">
      <c r="A86" s="12"/>
      <c r="B86" s="12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3"/>
      <c r="AC86" s="5"/>
      <c r="AD86" s="5"/>
      <c r="AE86" s="5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</row>
    <row r="87" spans="1:43" x14ac:dyDescent="0.3">
      <c r="A87" s="12"/>
      <c r="B87" s="12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3"/>
      <c r="AC87" s="5"/>
      <c r="AD87" s="5"/>
      <c r="AE87" s="5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</row>
    <row r="88" spans="1:43" x14ac:dyDescent="0.3">
      <c r="A88" s="12"/>
      <c r="B88" s="12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3"/>
      <c r="AC88" s="5"/>
      <c r="AD88" s="5"/>
      <c r="AE88" s="5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</row>
    <row r="89" spans="1:43" x14ac:dyDescent="0.3">
      <c r="A89" s="12"/>
      <c r="B89" s="12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3"/>
      <c r="AC89" s="5"/>
      <c r="AD89" s="5"/>
      <c r="AE89" s="5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</row>
    <row r="90" spans="1:43" x14ac:dyDescent="0.3">
      <c r="A90" s="8">
        <v>0</v>
      </c>
      <c r="B90" s="84">
        <v>0.25</v>
      </c>
      <c r="C90" s="85">
        <v>569</v>
      </c>
      <c r="D90" s="9"/>
      <c r="E90" s="9">
        <f>IA(A90,B90,$E$2,$E$3,$E$4,$E$5,$E$6)</f>
        <v>715.88853002166036</v>
      </c>
      <c r="F90" s="9">
        <f>($C90-E90)^2</f>
        <v>21576.240251924217</v>
      </c>
      <c r="G90" s="9">
        <f>$G$25</f>
        <v>532.58620689655174</v>
      </c>
      <c r="H90" s="9"/>
      <c r="I90" s="9">
        <f>IA_SA(A90,B90,$I$2,$I$3,$I$4,$I$5,$I$6,$I$7)</f>
        <v>641.01655097101502</v>
      </c>
      <c r="J90" s="9">
        <f>($C90-I90)^2</f>
        <v>5186.383613760805</v>
      </c>
      <c r="K90" s="9"/>
      <c r="L90" s="9">
        <f>IA_DR(A90,B90,$L$2,$L$3,$L$4,$L$5,$L$6,$L$7,$L$8)</f>
        <v>649.43620011497467</v>
      </c>
      <c r="M90" s="9">
        <f>($C90-L90)^2</f>
        <v>6469.9822889362504</v>
      </c>
      <c r="N90" s="9"/>
      <c r="O90" s="9">
        <f>IA_DL(A90,B90,$O$2,$O$3,$O$4,$O$5,$O$6,$O$7,$O$8)</f>
        <v>630.22207624077748</v>
      </c>
      <c r="P90" s="9">
        <f>($C90-O90)^2</f>
        <v>3748.1426192315707</v>
      </c>
      <c r="Q90" s="3" t="s">
        <v>32</v>
      </c>
      <c r="AC90" s="5"/>
      <c r="AD90" s="5"/>
      <c r="AE90" s="5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</row>
    <row r="91" spans="1:43" x14ac:dyDescent="0.3">
      <c r="A91" s="8">
        <v>0</v>
      </c>
      <c r="B91" s="84">
        <v>0.25</v>
      </c>
      <c r="C91" s="85">
        <v>617</v>
      </c>
      <c r="D91" s="9"/>
      <c r="E91" s="9">
        <f t="shared" ref="E91:E114" si="34">IA(A91,B91,$E$2,$E$3,$E$4,$E$5,$E$6)</f>
        <v>715.88853002166036</v>
      </c>
      <c r="F91" s="9">
        <f t="shared" ref="F91:F114" si="35">($C91-E91)^2</f>
        <v>9778.9413698448225</v>
      </c>
      <c r="G91" s="9">
        <f t="shared" ref="G91:G114" si="36">$G$25</f>
        <v>532.58620689655174</v>
      </c>
      <c r="H91" s="9"/>
      <c r="I91" s="9">
        <f t="shared" ref="I91:I114" si="37">IA_SA(A91,B91,$I$2,$I$3,$I$4,$I$5,$I$6,$I$7)</f>
        <v>641.01655097101502</v>
      </c>
      <c r="J91" s="9">
        <f t="shared" ref="J91:J114" si="38">($C91-I91)^2</f>
        <v>576.79472054336259</v>
      </c>
      <c r="K91" s="9"/>
      <c r="L91" s="9">
        <f t="shared" ref="L91:L114" si="39">IA_DR(A91,B91,$L$2,$L$3,$L$4,$L$5,$L$6,$L$7,$L$8)</f>
        <v>649.43620011497467</v>
      </c>
      <c r="M91" s="9">
        <f t="shared" ref="M91:M114" si="40">($C91-L91)^2</f>
        <v>1052.1070778986825</v>
      </c>
      <c r="N91" s="9"/>
      <c r="O91" s="9">
        <f t="shared" ref="O91:O114" si="41">IA_DL(A91,B91,$O$2,$O$3,$O$4,$O$5,$O$6,$O$7,$O$8)</f>
        <v>630.22207624077748</v>
      </c>
      <c r="P91" s="9">
        <f t="shared" ref="P91:P114" si="42">($C91-O91)^2</f>
        <v>174.82330011693242</v>
      </c>
      <c r="Q91" s="3"/>
      <c r="AC91" s="5"/>
      <c r="AD91" s="5"/>
      <c r="AE91" s="5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</row>
    <row r="92" spans="1:43" x14ac:dyDescent="0.3">
      <c r="A92" s="8">
        <v>0</v>
      </c>
      <c r="B92" s="84">
        <v>0.25</v>
      </c>
      <c r="C92" s="85">
        <v>655</v>
      </c>
      <c r="D92" s="9"/>
      <c r="E92" s="9">
        <f t="shared" si="34"/>
        <v>715.88853002166036</v>
      </c>
      <c r="F92" s="9">
        <f t="shared" si="35"/>
        <v>3707.4130881986348</v>
      </c>
      <c r="G92" s="9">
        <f t="shared" si="36"/>
        <v>532.58620689655174</v>
      </c>
      <c r="H92" s="9"/>
      <c r="I92" s="9">
        <f t="shared" si="37"/>
        <v>641.01655097101502</v>
      </c>
      <c r="J92" s="9">
        <f t="shared" si="38"/>
        <v>195.53684674622093</v>
      </c>
      <c r="K92" s="9"/>
      <c r="L92" s="9">
        <f t="shared" si="39"/>
        <v>649.43620011497467</v>
      </c>
      <c r="M92" s="9">
        <f t="shared" si="40"/>
        <v>30.955869160607904</v>
      </c>
      <c r="N92" s="9"/>
      <c r="O92" s="9">
        <f t="shared" si="41"/>
        <v>630.22207624077748</v>
      </c>
      <c r="P92" s="9">
        <f t="shared" si="42"/>
        <v>613.9455058178437</v>
      </c>
      <c r="Q92" s="3"/>
      <c r="AC92" s="5"/>
      <c r="AD92" s="5"/>
      <c r="AE92" s="5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</row>
    <row r="93" spans="1:43" x14ac:dyDescent="0.3">
      <c r="A93" s="8">
        <v>0</v>
      </c>
      <c r="B93" s="84">
        <v>0.25</v>
      </c>
      <c r="C93" s="85">
        <v>599</v>
      </c>
      <c r="D93" s="9"/>
      <c r="E93" s="9">
        <f t="shared" si="34"/>
        <v>715.88853002166036</v>
      </c>
      <c r="F93" s="9">
        <f t="shared" si="35"/>
        <v>13662.928450624595</v>
      </c>
      <c r="G93" s="9">
        <f t="shared" si="36"/>
        <v>532.58620689655174</v>
      </c>
      <c r="H93" s="9"/>
      <c r="I93" s="9">
        <f t="shared" si="37"/>
        <v>641.01655097101502</v>
      </c>
      <c r="J93" s="9">
        <f t="shared" si="38"/>
        <v>1765.3905554999033</v>
      </c>
      <c r="K93" s="9"/>
      <c r="L93" s="9">
        <f t="shared" si="39"/>
        <v>649.43620011497467</v>
      </c>
      <c r="M93" s="9">
        <f t="shared" si="40"/>
        <v>2543.8102820377708</v>
      </c>
      <c r="N93" s="9"/>
      <c r="O93" s="9">
        <f t="shared" si="41"/>
        <v>630.22207624077748</v>
      </c>
      <c r="P93" s="9">
        <f t="shared" si="42"/>
        <v>974.81804478492177</v>
      </c>
      <c r="Q93" s="3"/>
      <c r="AC93" s="5"/>
      <c r="AD93" s="5"/>
      <c r="AE93" s="5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</row>
    <row r="94" spans="1:43" x14ac:dyDescent="0.3">
      <c r="A94" s="8">
        <v>0</v>
      </c>
      <c r="B94" s="84">
        <v>0.25</v>
      </c>
      <c r="C94" s="85">
        <v>607</v>
      </c>
      <c r="D94" s="9"/>
      <c r="E94" s="9">
        <f t="shared" si="34"/>
        <v>715.88853002166036</v>
      </c>
      <c r="F94" s="9">
        <f t="shared" si="35"/>
        <v>11856.711970278029</v>
      </c>
      <c r="G94" s="9">
        <f t="shared" si="36"/>
        <v>532.58620689655174</v>
      </c>
      <c r="H94" s="9"/>
      <c r="I94" s="9">
        <f t="shared" si="37"/>
        <v>641.01655097101502</v>
      </c>
      <c r="J94" s="9">
        <f t="shared" si="38"/>
        <v>1157.1257399636629</v>
      </c>
      <c r="K94" s="9"/>
      <c r="L94" s="9">
        <f t="shared" si="39"/>
        <v>649.43620011497467</v>
      </c>
      <c r="M94" s="9">
        <f t="shared" si="40"/>
        <v>1800.8310801981759</v>
      </c>
      <c r="N94" s="9"/>
      <c r="O94" s="9">
        <f t="shared" si="41"/>
        <v>630.22207624077748</v>
      </c>
      <c r="P94" s="9">
        <f t="shared" si="42"/>
        <v>539.26482493248204</v>
      </c>
      <c r="Q94" s="3"/>
      <c r="AC94" s="5"/>
      <c r="AD94" s="5"/>
      <c r="AE94" s="5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</row>
    <row r="95" spans="1:43" x14ac:dyDescent="0.3">
      <c r="A95" s="8">
        <v>0</v>
      </c>
      <c r="B95" s="84">
        <v>0.5</v>
      </c>
      <c r="C95" s="85">
        <v>708</v>
      </c>
      <c r="D95" s="9"/>
      <c r="E95" s="9">
        <f t="shared" si="34"/>
        <v>692.94485304860382</v>
      </c>
      <c r="F95" s="9">
        <f t="shared" si="35"/>
        <v>226.65744972813374</v>
      </c>
      <c r="G95" s="9">
        <f t="shared" si="36"/>
        <v>532.58620689655174</v>
      </c>
      <c r="H95" s="9"/>
      <c r="I95" s="9">
        <f t="shared" si="37"/>
        <v>616.28032456652454</v>
      </c>
      <c r="J95" s="9">
        <f t="shared" si="38"/>
        <v>8412.4988616220817</v>
      </c>
      <c r="K95" s="9"/>
      <c r="L95" s="9">
        <f t="shared" si="39"/>
        <v>622.17461417988818</v>
      </c>
      <c r="M95" s="9">
        <f t="shared" si="40"/>
        <v>7365.9968511710513</v>
      </c>
      <c r="N95" s="9"/>
      <c r="O95" s="9">
        <f t="shared" si="41"/>
        <v>608.28589902141982</v>
      </c>
      <c r="P95" s="9">
        <f t="shared" si="42"/>
        <v>9942.9019339664846</v>
      </c>
      <c r="Q95" s="3"/>
      <c r="AC95" s="5"/>
      <c r="AD95" s="5"/>
      <c r="AE95" s="5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</row>
    <row r="96" spans="1:43" x14ac:dyDescent="0.3">
      <c r="A96" s="8">
        <v>0</v>
      </c>
      <c r="B96" s="84">
        <v>0.5</v>
      </c>
      <c r="C96" s="85">
        <v>572</v>
      </c>
      <c r="D96" s="9"/>
      <c r="E96" s="9">
        <f t="shared" si="34"/>
        <v>692.94485304860382</v>
      </c>
      <c r="F96" s="9">
        <f t="shared" si="35"/>
        <v>14627.657478948373</v>
      </c>
      <c r="G96" s="9">
        <f t="shared" si="36"/>
        <v>532.58620689655174</v>
      </c>
      <c r="H96" s="9"/>
      <c r="I96" s="9">
        <f t="shared" si="37"/>
        <v>616.28032456652454</v>
      </c>
      <c r="J96" s="9">
        <f t="shared" si="38"/>
        <v>1960.7471437167569</v>
      </c>
      <c r="K96" s="9"/>
      <c r="L96" s="9">
        <f t="shared" si="39"/>
        <v>622.17461417988818</v>
      </c>
      <c r="M96" s="9">
        <f t="shared" si="40"/>
        <v>2517.491908100636</v>
      </c>
      <c r="N96" s="9"/>
      <c r="O96" s="9">
        <f t="shared" si="41"/>
        <v>608.28589902141982</v>
      </c>
      <c r="P96" s="9">
        <f t="shared" si="42"/>
        <v>1316.666467792676</v>
      </c>
      <c r="Q96" s="3"/>
      <c r="AC96" s="5"/>
      <c r="AD96" s="5"/>
      <c r="AE96" s="5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</row>
    <row r="97" spans="1:43" x14ac:dyDescent="0.3">
      <c r="A97" s="8">
        <v>0</v>
      </c>
      <c r="B97" s="84">
        <v>0.5</v>
      </c>
      <c r="C97" s="85">
        <v>547</v>
      </c>
      <c r="D97" s="9"/>
      <c r="E97" s="9">
        <f t="shared" si="34"/>
        <v>692.94485304860382</v>
      </c>
      <c r="F97" s="9">
        <f t="shared" si="35"/>
        <v>21299.900131378563</v>
      </c>
      <c r="G97" s="9">
        <f t="shared" si="36"/>
        <v>532.58620689655174</v>
      </c>
      <c r="H97" s="9"/>
      <c r="I97" s="9">
        <f t="shared" si="37"/>
        <v>616.28032456652454</v>
      </c>
      <c r="J97" s="9">
        <f t="shared" si="38"/>
        <v>4799.763372042984</v>
      </c>
      <c r="K97" s="9"/>
      <c r="L97" s="9">
        <f t="shared" si="39"/>
        <v>622.17461417988818</v>
      </c>
      <c r="M97" s="9">
        <f t="shared" si="40"/>
        <v>5651.2226170950453</v>
      </c>
      <c r="N97" s="9"/>
      <c r="O97" s="9">
        <f t="shared" si="41"/>
        <v>608.28589902141982</v>
      </c>
      <c r="P97" s="9">
        <f t="shared" si="42"/>
        <v>3755.9614188636674</v>
      </c>
      <c r="Q97" s="3"/>
      <c r="AC97" s="5"/>
      <c r="AD97" s="5"/>
      <c r="AE97" s="5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</row>
    <row r="98" spans="1:43" x14ac:dyDescent="0.3">
      <c r="A98" s="8">
        <v>0</v>
      </c>
      <c r="B98" s="84">
        <v>0.5</v>
      </c>
      <c r="C98" s="85">
        <v>641</v>
      </c>
      <c r="D98" s="9"/>
      <c r="E98" s="9">
        <f t="shared" si="34"/>
        <v>692.94485304860382</v>
      </c>
      <c r="F98" s="9">
        <f t="shared" si="35"/>
        <v>2698.2677582410452</v>
      </c>
      <c r="G98" s="9">
        <f t="shared" si="36"/>
        <v>532.58620689655174</v>
      </c>
      <c r="H98" s="9"/>
      <c r="I98" s="9">
        <f t="shared" si="37"/>
        <v>616.28032456652454</v>
      </c>
      <c r="J98" s="9">
        <f t="shared" si="38"/>
        <v>611.0623535363701</v>
      </c>
      <c r="K98" s="9"/>
      <c r="L98" s="9">
        <f t="shared" si="39"/>
        <v>622.17461417988818</v>
      </c>
      <c r="M98" s="9">
        <f t="shared" si="40"/>
        <v>354.39515127606717</v>
      </c>
      <c r="N98" s="9"/>
      <c r="O98" s="9">
        <f t="shared" si="41"/>
        <v>608.28589902141982</v>
      </c>
      <c r="P98" s="9">
        <f t="shared" si="42"/>
        <v>1070.2124028367405</v>
      </c>
      <c r="Q98" s="3"/>
      <c r="AC98" s="5"/>
      <c r="AD98" s="5"/>
      <c r="AE98" s="5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</row>
    <row r="99" spans="1:43" x14ac:dyDescent="0.3">
      <c r="A99" s="8">
        <v>0</v>
      </c>
      <c r="B99" s="84">
        <v>0.5</v>
      </c>
      <c r="C99" s="85">
        <v>644</v>
      </c>
      <c r="D99" s="9"/>
      <c r="E99" s="9">
        <f t="shared" si="34"/>
        <v>692.94485304860382</v>
      </c>
      <c r="F99" s="9">
        <f t="shared" si="35"/>
        <v>2395.5986399494222</v>
      </c>
      <c r="G99" s="9">
        <f t="shared" si="36"/>
        <v>532.58620689655174</v>
      </c>
      <c r="H99" s="9"/>
      <c r="I99" s="9">
        <f t="shared" si="37"/>
        <v>616.28032456652454</v>
      </c>
      <c r="J99" s="9">
        <f t="shared" si="38"/>
        <v>768.38040613722285</v>
      </c>
      <c r="K99" s="9"/>
      <c r="L99" s="9">
        <f t="shared" si="39"/>
        <v>622.17461417988818</v>
      </c>
      <c r="M99" s="9">
        <f t="shared" si="40"/>
        <v>476.34746619673808</v>
      </c>
      <c r="N99" s="9"/>
      <c r="O99" s="9">
        <f t="shared" si="41"/>
        <v>608.28589902141982</v>
      </c>
      <c r="P99" s="9">
        <f t="shared" si="42"/>
        <v>1275.4970087082215</v>
      </c>
      <c r="Q99" s="3"/>
      <c r="AC99" s="5"/>
      <c r="AD99" s="5"/>
      <c r="AE99" s="5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</row>
    <row r="100" spans="1:43" x14ac:dyDescent="0.3">
      <c r="A100" s="8">
        <v>0</v>
      </c>
      <c r="B100" s="84">
        <v>1</v>
      </c>
      <c r="C100" s="85">
        <v>578</v>
      </c>
      <c r="D100" s="9"/>
      <c r="E100" s="9">
        <f t="shared" si="34"/>
        <v>664.47507353247033</v>
      </c>
      <c r="F100" s="9">
        <f t="shared" si="35"/>
        <v>7477.9383424461512</v>
      </c>
      <c r="G100" s="9">
        <f t="shared" si="36"/>
        <v>532.58620689655174</v>
      </c>
      <c r="H100" s="9"/>
      <c r="I100" s="9">
        <f t="shared" si="37"/>
        <v>589.19496358236017</v>
      </c>
      <c r="J100" s="9">
        <f t="shared" si="38"/>
        <v>125.32720961037053</v>
      </c>
      <c r="K100" s="9"/>
      <c r="L100" s="9">
        <f t="shared" si="39"/>
        <v>591.88263005014085</v>
      </c>
      <c r="M100" s="9">
        <f t="shared" si="40"/>
        <v>192.72741710907366</v>
      </c>
      <c r="N100" s="9"/>
      <c r="O100" s="9">
        <f t="shared" si="41"/>
        <v>584.57869496500473</v>
      </c>
      <c r="P100" s="9">
        <f t="shared" si="42"/>
        <v>43.279227442578573</v>
      </c>
      <c r="Q100" s="3"/>
      <c r="AC100" s="5"/>
      <c r="AD100" s="5"/>
      <c r="AE100" s="5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</row>
    <row r="101" spans="1:43" x14ac:dyDescent="0.3">
      <c r="A101" s="8">
        <v>0</v>
      </c>
      <c r="B101" s="84">
        <v>1</v>
      </c>
      <c r="C101" s="85">
        <v>550</v>
      </c>
      <c r="D101" s="9"/>
      <c r="E101" s="9">
        <f t="shared" si="34"/>
        <v>664.47507353247033</v>
      </c>
      <c r="F101" s="9">
        <f t="shared" si="35"/>
        <v>13104.542460264489</v>
      </c>
      <c r="G101" s="9">
        <f t="shared" si="36"/>
        <v>532.58620689655174</v>
      </c>
      <c r="H101" s="9"/>
      <c r="I101" s="9">
        <f t="shared" si="37"/>
        <v>589.19496358236017</v>
      </c>
      <c r="J101" s="9">
        <f t="shared" si="38"/>
        <v>1536.2451702225403</v>
      </c>
      <c r="K101" s="9"/>
      <c r="L101" s="9">
        <f t="shared" si="39"/>
        <v>591.88263005014085</v>
      </c>
      <c r="M101" s="9">
        <f t="shared" si="40"/>
        <v>1754.1546999169611</v>
      </c>
      <c r="N101" s="9"/>
      <c r="O101" s="9">
        <f t="shared" si="41"/>
        <v>584.57869496500473</v>
      </c>
      <c r="P101" s="9">
        <f t="shared" si="42"/>
        <v>1195.6861454828434</v>
      </c>
      <c r="Q101" s="3"/>
      <c r="AC101" s="5"/>
      <c r="AD101" s="5"/>
      <c r="AE101" s="5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</row>
    <row r="102" spans="1:43" x14ac:dyDescent="0.3">
      <c r="A102" s="8">
        <v>0</v>
      </c>
      <c r="B102" s="84">
        <v>1</v>
      </c>
      <c r="C102" s="85">
        <v>585</v>
      </c>
      <c r="D102" s="9"/>
      <c r="E102" s="9">
        <f t="shared" si="34"/>
        <v>664.47507353247033</v>
      </c>
      <c r="F102" s="9">
        <f t="shared" si="35"/>
        <v>6316.2873129915661</v>
      </c>
      <c r="G102" s="9">
        <f t="shared" si="36"/>
        <v>532.58620689655174</v>
      </c>
      <c r="H102" s="9"/>
      <c r="I102" s="9">
        <f t="shared" si="37"/>
        <v>589.19496358236017</v>
      </c>
      <c r="J102" s="9">
        <f t="shared" si="38"/>
        <v>17.597719457328104</v>
      </c>
      <c r="K102" s="9"/>
      <c r="L102" s="9">
        <f t="shared" si="39"/>
        <v>591.88263005014085</v>
      </c>
      <c r="M102" s="9">
        <f t="shared" si="40"/>
        <v>47.370596407101793</v>
      </c>
      <c r="N102" s="9"/>
      <c r="O102" s="9">
        <f t="shared" si="41"/>
        <v>584.57869496500473</v>
      </c>
      <c r="P102" s="9">
        <f t="shared" si="42"/>
        <v>0.17749793251236648</v>
      </c>
      <c r="Q102" s="3"/>
      <c r="AC102" s="5"/>
      <c r="AD102" s="5"/>
      <c r="AE102" s="5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</row>
    <row r="103" spans="1:43" x14ac:dyDescent="0.3">
      <c r="A103" s="8">
        <v>0</v>
      </c>
      <c r="B103" s="84">
        <v>1</v>
      </c>
      <c r="C103" s="85">
        <v>421</v>
      </c>
      <c r="D103" s="9"/>
      <c r="E103" s="9">
        <f t="shared" si="34"/>
        <v>664.47507353247033</v>
      </c>
      <c r="F103" s="9">
        <f t="shared" si="35"/>
        <v>59280.111431641839</v>
      </c>
      <c r="G103" s="9">
        <f t="shared" si="36"/>
        <v>532.58620689655174</v>
      </c>
      <c r="H103" s="9"/>
      <c r="I103" s="9">
        <f t="shared" si="37"/>
        <v>589.19496358236017</v>
      </c>
      <c r="J103" s="9">
        <f t="shared" si="38"/>
        <v>28289.545774471466</v>
      </c>
      <c r="K103" s="9"/>
      <c r="L103" s="9">
        <f t="shared" si="39"/>
        <v>591.88263005014085</v>
      </c>
      <c r="M103" s="9">
        <f t="shared" si="40"/>
        <v>29200.8732528533</v>
      </c>
      <c r="N103" s="9"/>
      <c r="O103" s="9">
        <f t="shared" si="41"/>
        <v>584.57869496500473</v>
      </c>
      <c r="P103" s="9">
        <f t="shared" si="42"/>
        <v>26757.989446454063</v>
      </c>
      <c r="Q103" s="3"/>
      <c r="AC103" s="5"/>
      <c r="AD103" s="5"/>
      <c r="AE103" s="5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</row>
    <row r="104" spans="1:43" x14ac:dyDescent="0.3">
      <c r="A104" s="8">
        <v>0</v>
      </c>
      <c r="B104" s="84">
        <v>1</v>
      </c>
      <c r="C104" s="85">
        <v>632</v>
      </c>
      <c r="D104" s="9"/>
      <c r="E104" s="9">
        <f t="shared" si="34"/>
        <v>664.47507353247033</v>
      </c>
      <c r="F104" s="9">
        <f t="shared" si="35"/>
        <v>1054.6304009393552</v>
      </c>
      <c r="G104" s="9">
        <f t="shared" si="36"/>
        <v>532.58620689655174</v>
      </c>
      <c r="H104" s="9"/>
      <c r="I104" s="9">
        <f t="shared" si="37"/>
        <v>589.19496358236017</v>
      </c>
      <c r="J104" s="9">
        <f t="shared" si="38"/>
        <v>1832.2711427154718</v>
      </c>
      <c r="K104" s="9"/>
      <c r="L104" s="9">
        <f t="shared" si="39"/>
        <v>591.88263005014085</v>
      </c>
      <c r="M104" s="9">
        <f t="shared" si="40"/>
        <v>1609.4033716938623</v>
      </c>
      <c r="N104" s="9"/>
      <c r="O104" s="9">
        <f t="shared" si="41"/>
        <v>584.57869496500473</v>
      </c>
      <c r="P104" s="9">
        <f t="shared" si="42"/>
        <v>2248.780171222068</v>
      </c>
      <c r="Q104" s="3"/>
      <c r="AC104" s="5"/>
      <c r="AD104" s="5"/>
      <c r="AE104" s="5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</row>
    <row r="105" spans="1:43" x14ac:dyDescent="0.3">
      <c r="A105" s="8">
        <v>0</v>
      </c>
      <c r="B105" s="84">
        <v>2</v>
      </c>
      <c r="C105" s="85">
        <v>616</v>
      </c>
      <c r="D105" s="9"/>
      <c r="E105" s="9">
        <f t="shared" si="34"/>
        <v>629.8787324719201</v>
      </c>
      <c r="F105" s="9">
        <f t="shared" si="35"/>
        <v>192.61921502712948</v>
      </c>
      <c r="G105" s="9">
        <f t="shared" si="36"/>
        <v>532.58620689655174</v>
      </c>
      <c r="H105" s="9"/>
      <c r="I105" s="9">
        <f t="shared" si="37"/>
        <v>559.88171135277526</v>
      </c>
      <c r="J105" s="9">
        <f t="shared" si="38"/>
        <v>3149.2623206932335</v>
      </c>
      <c r="K105" s="9"/>
      <c r="L105" s="9">
        <f t="shared" si="39"/>
        <v>558.71724736088288</v>
      </c>
      <c r="M105" s="9">
        <f t="shared" si="40"/>
        <v>3281.3137499142795</v>
      </c>
      <c r="N105" s="9"/>
      <c r="O105" s="9">
        <f t="shared" si="41"/>
        <v>559.18655349969868</v>
      </c>
      <c r="P105" s="9">
        <f t="shared" si="42"/>
        <v>3227.7677032426009</v>
      </c>
      <c r="Q105" s="3"/>
      <c r="AC105" s="5"/>
      <c r="AD105" s="5"/>
      <c r="AE105" s="5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</row>
    <row r="106" spans="1:43" x14ac:dyDescent="0.3">
      <c r="A106" s="8">
        <v>0</v>
      </c>
      <c r="B106" s="84">
        <v>2</v>
      </c>
      <c r="C106" s="85">
        <v>745</v>
      </c>
      <c r="D106" s="9"/>
      <c r="E106" s="9">
        <f t="shared" si="34"/>
        <v>629.8787324719201</v>
      </c>
      <c r="F106" s="9">
        <f t="shared" si="35"/>
        <v>13252.906237271744</v>
      </c>
      <c r="G106" s="9">
        <f t="shared" si="36"/>
        <v>532.58620689655174</v>
      </c>
      <c r="H106" s="9"/>
      <c r="I106" s="9">
        <f t="shared" si="37"/>
        <v>559.88171135277526</v>
      </c>
      <c r="J106" s="9">
        <f t="shared" si="38"/>
        <v>34268.780791677214</v>
      </c>
      <c r="K106" s="9"/>
      <c r="L106" s="9">
        <f t="shared" si="39"/>
        <v>558.71724736088288</v>
      </c>
      <c r="M106" s="9">
        <f t="shared" si="40"/>
        <v>34701.263930806497</v>
      </c>
      <c r="N106" s="9"/>
      <c r="O106" s="9">
        <f t="shared" si="41"/>
        <v>559.18655349969868</v>
      </c>
      <c r="P106" s="9">
        <f t="shared" si="42"/>
        <v>34526.636900320344</v>
      </c>
      <c r="Q106" s="3"/>
      <c r="AC106" s="5"/>
      <c r="AD106" s="5"/>
      <c r="AE106" s="5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</row>
    <row r="107" spans="1:43" x14ac:dyDescent="0.3">
      <c r="A107" s="8">
        <v>0</v>
      </c>
      <c r="B107" s="84">
        <v>2</v>
      </c>
      <c r="C107" s="85">
        <v>611</v>
      </c>
      <c r="D107" s="9"/>
      <c r="E107" s="9">
        <f t="shared" si="34"/>
        <v>629.8787324719201</v>
      </c>
      <c r="F107" s="9">
        <f t="shared" si="35"/>
        <v>356.40653974633051</v>
      </c>
      <c r="G107" s="9">
        <f t="shared" si="36"/>
        <v>532.58620689655174</v>
      </c>
      <c r="H107" s="9"/>
      <c r="I107" s="9">
        <f t="shared" si="37"/>
        <v>559.88171135277526</v>
      </c>
      <c r="J107" s="9">
        <f t="shared" si="38"/>
        <v>2613.0794342209861</v>
      </c>
      <c r="K107" s="9"/>
      <c r="L107" s="9">
        <f t="shared" si="39"/>
        <v>558.71724736088288</v>
      </c>
      <c r="M107" s="9">
        <f t="shared" si="40"/>
        <v>2733.486223523108</v>
      </c>
      <c r="N107" s="9"/>
      <c r="O107" s="9">
        <f t="shared" si="41"/>
        <v>559.18655349969868</v>
      </c>
      <c r="P107" s="9">
        <f t="shared" si="42"/>
        <v>2684.6332382395876</v>
      </c>
      <c r="Q107" s="3"/>
      <c r="AC107" s="5"/>
      <c r="AD107" s="5"/>
      <c r="AE107" s="5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</row>
    <row r="108" spans="1:43" x14ac:dyDescent="0.3">
      <c r="A108" s="8">
        <v>0</v>
      </c>
      <c r="B108" s="84">
        <v>2</v>
      </c>
      <c r="C108" s="85">
        <v>586</v>
      </c>
      <c r="D108" s="9"/>
      <c r="E108" s="9">
        <f t="shared" si="34"/>
        <v>629.8787324719201</v>
      </c>
      <c r="F108" s="9">
        <f t="shared" si="35"/>
        <v>1925.3431633423356</v>
      </c>
      <c r="G108" s="9">
        <f t="shared" si="36"/>
        <v>532.58620689655174</v>
      </c>
      <c r="H108" s="9"/>
      <c r="I108" s="9">
        <f t="shared" si="37"/>
        <v>559.88171135277526</v>
      </c>
      <c r="J108" s="9">
        <f t="shared" si="38"/>
        <v>682.16500185974894</v>
      </c>
      <c r="K108" s="9"/>
      <c r="L108" s="9">
        <f t="shared" si="39"/>
        <v>558.71724736088288</v>
      </c>
      <c r="M108" s="9">
        <f t="shared" si="40"/>
        <v>744.34859156725224</v>
      </c>
      <c r="N108" s="9"/>
      <c r="O108" s="9">
        <f t="shared" si="41"/>
        <v>559.18655349969868</v>
      </c>
      <c r="P108" s="9">
        <f t="shared" si="42"/>
        <v>718.96091322452139</v>
      </c>
      <c r="Q108" s="3"/>
      <c r="AC108" s="5"/>
      <c r="AD108" s="5"/>
      <c r="AE108" s="5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</row>
    <row r="109" spans="1:43" x14ac:dyDescent="0.3">
      <c r="A109" s="8">
        <v>0</v>
      </c>
      <c r="B109" s="84">
        <v>2</v>
      </c>
      <c r="C109" s="85">
        <v>522</v>
      </c>
      <c r="D109" s="9"/>
      <c r="E109" s="9">
        <f t="shared" si="34"/>
        <v>629.8787324719201</v>
      </c>
      <c r="F109" s="9">
        <f t="shared" si="35"/>
        <v>11637.820919748108</v>
      </c>
      <c r="G109" s="9">
        <f t="shared" si="36"/>
        <v>532.58620689655174</v>
      </c>
      <c r="H109" s="9"/>
      <c r="I109" s="9">
        <f t="shared" si="37"/>
        <v>559.88171135277526</v>
      </c>
      <c r="J109" s="9">
        <f t="shared" si="38"/>
        <v>1435.0240550149817</v>
      </c>
      <c r="K109" s="9"/>
      <c r="L109" s="9">
        <f t="shared" si="39"/>
        <v>558.71724736088288</v>
      </c>
      <c r="M109" s="9">
        <f t="shared" si="40"/>
        <v>1348.1562537602608</v>
      </c>
      <c r="N109" s="9"/>
      <c r="O109" s="9">
        <f t="shared" si="41"/>
        <v>559.18655349969868</v>
      </c>
      <c r="P109" s="9">
        <f t="shared" si="42"/>
        <v>1382.8397611859518</v>
      </c>
      <c r="Q109" s="3"/>
      <c r="AC109" s="5"/>
      <c r="AD109" s="5"/>
      <c r="AE109" s="5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</row>
    <row r="110" spans="1:43" x14ac:dyDescent="0.3">
      <c r="A110" s="8">
        <v>0</v>
      </c>
      <c r="B110" s="84">
        <v>4</v>
      </c>
      <c r="C110" s="85">
        <v>549</v>
      </c>
      <c r="D110" s="9"/>
      <c r="E110" s="9">
        <f t="shared" si="34"/>
        <v>588.88920923480157</v>
      </c>
      <c r="F110" s="9">
        <f t="shared" si="35"/>
        <v>1591.1490133777788</v>
      </c>
      <c r="G110" s="9">
        <f t="shared" si="36"/>
        <v>532.58620689655174</v>
      </c>
      <c r="H110" s="9"/>
      <c r="I110" s="9">
        <f t="shared" si="37"/>
        <v>528.55556129888191</v>
      </c>
      <c r="J110" s="9">
        <f t="shared" si="38"/>
        <v>417.97507380377505</v>
      </c>
      <c r="K110" s="9"/>
      <c r="L110" s="9">
        <f t="shared" si="39"/>
        <v>522.98840232445775</v>
      </c>
      <c r="M110" s="9">
        <f t="shared" si="40"/>
        <v>676.60321363427488</v>
      </c>
      <c r="N110" s="9"/>
      <c r="O110" s="9">
        <f t="shared" si="41"/>
        <v>532.24999948482241</v>
      </c>
      <c r="P110" s="9">
        <f t="shared" si="42"/>
        <v>280.56251725844953</v>
      </c>
      <c r="Q110" s="3"/>
      <c r="AC110" s="5"/>
      <c r="AD110" s="5"/>
      <c r="AE110" s="5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</row>
    <row r="111" spans="1:43" x14ac:dyDescent="0.3">
      <c r="A111" s="8">
        <v>0</v>
      </c>
      <c r="B111" s="84">
        <v>4</v>
      </c>
      <c r="C111" s="85">
        <v>552</v>
      </c>
      <c r="D111" s="9"/>
      <c r="E111" s="9">
        <f t="shared" si="34"/>
        <v>588.88920923480157</v>
      </c>
      <c r="F111" s="9">
        <f t="shared" si="35"/>
        <v>1360.8137579689694</v>
      </c>
      <c r="G111" s="9">
        <f t="shared" si="36"/>
        <v>532.58620689655174</v>
      </c>
      <c r="H111" s="9"/>
      <c r="I111" s="9">
        <f t="shared" si="37"/>
        <v>528.55556129888191</v>
      </c>
      <c r="J111" s="9">
        <f t="shared" si="38"/>
        <v>549.64170601048363</v>
      </c>
      <c r="K111" s="9"/>
      <c r="L111" s="9">
        <f t="shared" si="39"/>
        <v>522.98840232445775</v>
      </c>
      <c r="M111" s="9">
        <f t="shared" si="40"/>
        <v>841.67279968752837</v>
      </c>
      <c r="N111" s="9"/>
      <c r="O111" s="9">
        <f t="shared" si="41"/>
        <v>532.24999948482241</v>
      </c>
      <c r="P111" s="9">
        <f t="shared" si="42"/>
        <v>390.06252034951507</v>
      </c>
      <c r="Q111" s="3"/>
      <c r="AC111" s="5"/>
      <c r="AD111" s="5"/>
      <c r="AE111" s="5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</row>
    <row r="112" spans="1:43" x14ac:dyDescent="0.3">
      <c r="A112" s="8">
        <v>0</v>
      </c>
      <c r="B112" s="84">
        <v>4</v>
      </c>
      <c r="C112" s="85">
        <v>473</v>
      </c>
      <c r="D112" s="9"/>
      <c r="E112" s="9">
        <f t="shared" si="34"/>
        <v>588.88920923480157</v>
      </c>
      <c r="F112" s="9">
        <f t="shared" si="35"/>
        <v>13430.308817067616</v>
      </c>
      <c r="G112" s="9">
        <f t="shared" si="36"/>
        <v>532.58620689655174</v>
      </c>
      <c r="H112" s="9"/>
      <c r="I112" s="9">
        <f t="shared" si="37"/>
        <v>528.55556129888191</v>
      </c>
      <c r="J112" s="9">
        <f t="shared" si="38"/>
        <v>3086.4203912338257</v>
      </c>
      <c r="K112" s="9"/>
      <c r="L112" s="9">
        <f t="shared" si="39"/>
        <v>522.98840232445775</v>
      </c>
      <c r="M112" s="9">
        <f t="shared" si="40"/>
        <v>2498.840366951853</v>
      </c>
      <c r="N112" s="9"/>
      <c r="O112" s="9">
        <f t="shared" si="41"/>
        <v>532.24999948482241</v>
      </c>
      <c r="P112" s="9">
        <f t="shared" si="42"/>
        <v>3510.562438951456</v>
      </c>
      <c r="AC112" s="5"/>
      <c r="AD112" s="5"/>
      <c r="AE112" s="5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</row>
    <row r="113" spans="1:43" x14ac:dyDescent="0.3">
      <c r="A113" s="8">
        <v>0</v>
      </c>
      <c r="B113" s="84">
        <v>4</v>
      </c>
      <c r="C113" s="85">
        <v>350</v>
      </c>
      <c r="D113" s="9"/>
      <c r="E113" s="9">
        <f t="shared" si="34"/>
        <v>588.88920923480157</v>
      </c>
      <c r="F113" s="9">
        <f t="shared" si="35"/>
        <v>57068.054288828804</v>
      </c>
      <c r="G113" s="9">
        <f t="shared" si="36"/>
        <v>532.58620689655174</v>
      </c>
      <c r="H113" s="9"/>
      <c r="I113" s="9">
        <f t="shared" si="37"/>
        <v>528.55556129888191</v>
      </c>
      <c r="J113" s="9">
        <f t="shared" si="38"/>
        <v>31882.088470758776</v>
      </c>
      <c r="K113" s="9"/>
      <c r="L113" s="9">
        <f t="shared" si="39"/>
        <v>522.98840232445775</v>
      </c>
      <c r="M113" s="9">
        <f t="shared" si="40"/>
        <v>29924.98733876846</v>
      </c>
      <c r="N113" s="9"/>
      <c r="O113" s="9">
        <f t="shared" si="41"/>
        <v>532.24999948482241</v>
      </c>
      <c r="P113" s="9">
        <f t="shared" si="42"/>
        <v>33215.062312217771</v>
      </c>
      <c r="Q113" s="3"/>
      <c r="AC113" s="5"/>
      <c r="AD113" s="5"/>
      <c r="AE113" s="5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</row>
    <row r="114" spans="1:43" x14ac:dyDescent="0.3">
      <c r="A114" s="8">
        <v>0</v>
      </c>
      <c r="B114" s="84">
        <v>4</v>
      </c>
      <c r="C114" s="85">
        <v>626</v>
      </c>
      <c r="D114" s="9"/>
      <c r="E114" s="9">
        <f t="shared" si="34"/>
        <v>588.88920923480157</v>
      </c>
      <c r="F114" s="9">
        <f t="shared" si="35"/>
        <v>1377.2107912183371</v>
      </c>
      <c r="G114" s="9">
        <f t="shared" si="36"/>
        <v>532.58620689655174</v>
      </c>
      <c r="H114" s="9"/>
      <c r="I114" s="9">
        <f t="shared" si="37"/>
        <v>528.55556129888191</v>
      </c>
      <c r="J114" s="9">
        <f t="shared" si="38"/>
        <v>9495.4186337759602</v>
      </c>
      <c r="K114" s="9"/>
      <c r="L114" s="9">
        <f t="shared" si="39"/>
        <v>522.98840232445775</v>
      </c>
      <c r="M114" s="9">
        <f t="shared" si="40"/>
        <v>10611.38925566778</v>
      </c>
      <c r="N114" s="9"/>
      <c r="O114" s="9">
        <f t="shared" si="41"/>
        <v>532.24999948482241</v>
      </c>
      <c r="P114" s="9">
        <f t="shared" si="42"/>
        <v>8789.0625965957988</v>
      </c>
      <c r="Q114" s="3"/>
      <c r="AC114" s="5"/>
      <c r="AD114" s="5"/>
      <c r="AE114" s="5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</row>
    <row r="115" spans="1:43" x14ac:dyDescent="0.3">
      <c r="A115" s="8"/>
      <c r="B115" s="8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3"/>
      <c r="AC115" s="5"/>
      <c r="AD115" s="5"/>
      <c r="AE115" s="5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</row>
    <row r="116" spans="1:43" x14ac:dyDescent="0.3">
      <c r="A116" s="8"/>
      <c r="B116" s="8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3"/>
      <c r="AC116" s="5"/>
      <c r="AD116" s="5"/>
      <c r="AE116" s="5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</row>
    <row r="117" spans="1:43" x14ac:dyDescent="0.3">
      <c r="A117" s="8"/>
      <c r="B117" s="8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3"/>
      <c r="AC117" s="5"/>
      <c r="AD117" s="5"/>
      <c r="AE117" s="5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</row>
    <row r="118" spans="1:43" x14ac:dyDescent="0.3">
      <c r="A118" s="8"/>
      <c r="B118" s="8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3"/>
      <c r="AC118" s="5"/>
      <c r="AD118" s="5"/>
      <c r="AE118" s="5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</row>
    <row r="119" spans="1:43" x14ac:dyDescent="0.3">
      <c r="A119" s="8"/>
      <c r="B119" s="8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3"/>
      <c r="AC119" s="5"/>
      <c r="AD119" s="5"/>
      <c r="AE119" s="5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</row>
    <row r="120" spans="1:43" x14ac:dyDescent="0.3">
      <c r="A120" s="8"/>
      <c r="B120" s="8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3"/>
      <c r="AC120" s="5"/>
      <c r="AD120" s="5"/>
      <c r="AE120" s="5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</row>
    <row r="121" spans="1:43" x14ac:dyDescent="0.3">
      <c r="A121" s="8"/>
      <c r="B121" s="8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3"/>
      <c r="AC121" s="5"/>
      <c r="AD121" s="5"/>
      <c r="AE121" s="5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</row>
    <row r="122" spans="1:43" x14ac:dyDescent="0.3">
      <c r="A122" s="8"/>
      <c r="B122" s="8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3"/>
      <c r="AC122" s="5"/>
      <c r="AD122" s="5"/>
      <c r="AE122" s="5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</row>
    <row r="123" spans="1:43" x14ac:dyDescent="0.3">
      <c r="A123" s="8"/>
      <c r="B123" s="8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3"/>
      <c r="AC123" s="5"/>
      <c r="AD123" s="5"/>
      <c r="AE123" s="5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</row>
    <row r="124" spans="1:43" x14ac:dyDescent="0.3">
      <c r="A124" s="8"/>
      <c r="B124" s="8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3"/>
      <c r="AC124" s="5"/>
      <c r="AD124" s="5"/>
      <c r="AE124" s="5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</row>
    <row r="125" spans="1:43" x14ac:dyDescent="0.3">
      <c r="A125" s="8"/>
      <c r="B125" s="8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3"/>
      <c r="AC125" s="5"/>
      <c r="AD125" s="5"/>
      <c r="AE125" s="5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</row>
    <row r="126" spans="1:43" x14ac:dyDescent="0.3">
      <c r="A126" s="8"/>
      <c r="B126" s="8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3"/>
      <c r="AC126" s="5"/>
      <c r="AD126" s="5"/>
      <c r="AE126" s="5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</row>
    <row r="127" spans="1:43" x14ac:dyDescent="0.3">
      <c r="A127" s="8"/>
      <c r="B127" s="8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3"/>
      <c r="AC127" s="5"/>
      <c r="AD127" s="5"/>
      <c r="AE127" s="5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</row>
    <row r="128" spans="1:43" x14ac:dyDescent="0.3">
      <c r="A128" s="8"/>
      <c r="B128" s="8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3"/>
      <c r="AC128" s="5"/>
      <c r="AD128" s="5"/>
      <c r="AE128" s="5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</row>
    <row r="129" spans="1:43" x14ac:dyDescent="0.3">
      <c r="A129" s="8"/>
      <c r="B129" s="8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3"/>
      <c r="AC129" s="5"/>
      <c r="AD129" s="5"/>
      <c r="AE129" s="5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</row>
    <row r="130" spans="1:43" x14ac:dyDescent="0.3">
      <c r="A130" s="8"/>
      <c r="B130" s="8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3"/>
      <c r="AC130" s="5"/>
      <c r="AD130" s="5"/>
      <c r="AE130" s="5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</row>
    <row r="131" spans="1:43" x14ac:dyDescent="0.3">
      <c r="A131" s="8"/>
      <c r="B131" s="8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3"/>
      <c r="AC131" s="5"/>
      <c r="AD131" s="5"/>
      <c r="AE131" s="5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</row>
    <row r="132" spans="1:43" x14ac:dyDescent="0.3">
      <c r="A132" s="8"/>
      <c r="B132" s="8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3"/>
      <c r="AC132" s="5"/>
      <c r="AD132" s="5"/>
      <c r="AE132" s="5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</row>
    <row r="133" spans="1:43" x14ac:dyDescent="0.3">
      <c r="A133" s="8"/>
      <c r="B133" s="8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3"/>
      <c r="AC133" s="5"/>
      <c r="AD133" s="5"/>
      <c r="AE133" s="5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</row>
    <row r="134" spans="1:43" x14ac:dyDescent="0.3">
      <c r="A134" s="8"/>
      <c r="B134" s="8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3"/>
      <c r="AC134" s="5"/>
      <c r="AD134" s="5"/>
      <c r="AE134" s="5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</row>
    <row r="135" spans="1:43" x14ac:dyDescent="0.3">
      <c r="A135" s="86">
        <v>6.2500000000000003E-3</v>
      </c>
      <c r="B135" s="86">
        <v>0.1875</v>
      </c>
      <c r="C135" s="87">
        <v>820</v>
      </c>
      <c r="D135" s="15"/>
      <c r="E135" s="15">
        <f>IA(A135,B135,$E$2,$E$3,$E$4,$E$5,$E$6)</f>
        <v>723.96640592865049</v>
      </c>
      <c r="F135" s="15">
        <f>($C135-E135)^2</f>
        <v>9222.4511902607355</v>
      </c>
      <c r="G135" s="15">
        <f>$G$25</f>
        <v>532.58620689655174</v>
      </c>
      <c r="H135" s="15"/>
      <c r="I135" s="15">
        <f>IA_SA(A135,B135,$I$2,$I$3,$I$4,$I$5,$I$6,$I$7)</f>
        <v>785.2396750127491</v>
      </c>
      <c r="J135" s="15">
        <f>($C135-I135)^2</f>
        <v>1208.280193219299</v>
      </c>
      <c r="K135" s="15"/>
      <c r="L135" s="15">
        <f>IA_DR(A135,B135,$L$2,$L$3,$L$4,$L$5,$L$6,$L$7,$L$8)</f>
        <v>787.6218810382677</v>
      </c>
      <c r="M135" s="15">
        <f>($C135-L135)^2</f>
        <v>1048.3425875000885</v>
      </c>
      <c r="N135" s="15"/>
      <c r="O135" s="15">
        <f>IA_DL(A135,B135,$O$2,$O$3,$O$4,$O$5,$O$6,$O$7,$O$8)</f>
        <v>793.31756422480942</v>
      </c>
      <c r="P135" s="15">
        <f>($C135-O135)^2</f>
        <v>711.95237889717032</v>
      </c>
      <c r="Q135" s="3" t="s">
        <v>33</v>
      </c>
      <c r="AC135" s="5"/>
      <c r="AD135" s="5"/>
      <c r="AE135" s="5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</row>
    <row r="136" spans="1:43" x14ac:dyDescent="0.3">
      <c r="A136" s="86">
        <v>6.2500000000000003E-3</v>
      </c>
      <c r="B136" s="86">
        <v>0.1875</v>
      </c>
      <c r="C136" s="87">
        <v>843</v>
      </c>
      <c r="D136" s="15"/>
      <c r="E136" s="15">
        <f t="shared" ref="E136:E199" si="43">IA(A136,B136,$E$2,$E$3,$E$4,$E$5,$E$6)</f>
        <v>723.96640592865049</v>
      </c>
      <c r="F136" s="15">
        <f t="shared" ref="F136:F199" si="44">($C136-E136)^2</f>
        <v>14168.996517542813</v>
      </c>
      <c r="G136" s="15">
        <f t="shared" ref="G136:G199" si="45">$G$25</f>
        <v>532.58620689655174</v>
      </c>
      <c r="H136" s="15"/>
      <c r="I136" s="15">
        <f t="shared" ref="I136:I199" si="46">IA_SA(A136,B136,$I$2,$I$3,$I$4,$I$5,$I$6,$I$7)</f>
        <v>785.2396750127491</v>
      </c>
      <c r="J136" s="15">
        <f t="shared" ref="J136:J199" si="47">($C136-I136)^2</f>
        <v>3336.2551426328405</v>
      </c>
      <c r="K136" s="15"/>
      <c r="L136" s="15">
        <f t="shared" ref="L136:L199" si="48">IA_DR(A136,B136,$L$2,$L$3,$L$4,$L$5,$L$6,$L$7,$L$8)</f>
        <v>787.6218810382677</v>
      </c>
      <c r="M136" s="15">
        <f t="shared" ref="M136:M199" si="49">($C136-L136)^2</f>
        <v>3066.7360597397742</v>
      </c>
      <c r="N136" s="15"/>
      <c r="O136" s="15">
        <f t="shared" ref="O136:O199" si="50">IA_DL(A136,B136,$O$2,$O$3,$O$4,$O$5,$O$6,$O$7,$O$8)</f>
        <v>793.31756422480942</v>
      </c>
      <c r="P136" s="15">
        <f t="shared" ref="P136:P199" si="51">($C136-O136)^2</f>
        <v>2468.3444245559372</v>
      </c>
      <c r="Q136" s="3"/>
      <c r="AC136" s="5"/>
      <c r="AD136" s="5"/>
      <c r="AE136" s="5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</row>
    <row r="137" spans="1:43" x14ac:dyDescent="0.3">
      <c r="A137" s="86">
        <v>6.2500000000000003E-3</v>
      </c>
      <c r="B137" s="86">
        <v>0.1875</v>
      </c>
      <c r="C137" s="87">
        <v>888</v>
      </c>
      <c r="D137" s="15"/>
      <c r="E137" s="15">
        <f t="shared" si="43"/>
        <v>723.96640592865049</v>
      </c>
      <c r="F137" s="15">
        <f t="shared" si="44"/>
        <v>26907.01998396427</v>
      </c>
      <c r="G137" s="15">
        <f t="shared" si="45"/>
        <v>532.58620689655174</v>
      </c>
      <c r="H137" s="15"/>
      <c r="I137" s="15">
        <f t="shared" si="46"/>
        <v>785.2396750127491</v>
      </c>
      <c r="J137" s="15">
        <f t="shared" si="47"/>
        <v>10559.684391485422</v>
      </c>
      <c r="K137" s="15"/>
      <c r="L137" s="15">
        <f t="shared" si="48"/>
        <v>787.6218810382677</v>
      </c>
      <c r="M137" s="15">
        <f t="shared" si="49"/>
        <v>10075.766766295681</v>
      </c>
      <c r="N137" s="15"/>
      <c r="O137" s="15">
        <f t="shared" si="50"/>
        <v>793.31756422480942</v>
      </c>
      <c r="P137" s="15">
        <f t="shared" si="51"/>
        <v>8964.7636443230895</v>
      </c>
      <c r="Q137" s="3"/>
      <c r="AC137" s="5"/>
      <c r="AD137" s="5"/>
      <c r="AE137" s="5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</row>
    <row r="138" spans="1:43" x14ac:dyDescent="0.3">
      <c r="A138" s="86">
        <v>6.2500000000000003E-3</v>
      </c>
      <c r="B138" s="86">
        <v>0.1875</v>
      </c>
      <c r="C138" s="87">
        <v>820</v>
      </c>
      <c r="D138" s="15"/>
      <c r="E138" s="15">
        <f t="shared" si="43"/>
        <v>723.96640592865049</v>
      </c>
      <c r="F138" s="15">
        <f t="shared" si="44"/>
        <v>9222.4511902607355</v>
      </c>
      <c r="G138" s="15">
        <f t="shared" si="45"/>
        <v>532.58620689655174</v>
      </c>
      <c r="H138" s="15"/>
      <c r="I138" s="15">
        <f t="shared" si="46"/>
        <v>785.2396750127491</v>
      </c>
      <c r="J138" s="15">
        <f t="shared" si="47"/>
        <v>1208.280193219299</v>
      </c>
      <c r="K138" s="15"/>
      <c r="L138" s="15">
        <f t="shared" si="48"/>
        <v>787.6218810382677</v>
      </c>
      <c r="M138" s="15">
        <f t="shared" si="49"/>
        <v>1048.3425875000885</v>
      </c>
      <c r="N138" s="15"/>
      <c r="O138" s="15">
        <f t="shared" si="50"/>
        <v>793.31756422480942</v>
      </c>
      <c r="P138" s="15">
        <f t="shared" si="51"/>
        <v>711.95237889717032</v>
      </c>
      <c r="Q138" s="3"/>
      <c r="AC138" s="5"/>
      <c r="AD138" s="5"/>
      <c r="AE138" s="5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</row>
    <row r="139" spans="1:43" x14ac:dyDescent="0.3">
      <c r="A139" s="86">
        <v>6.2500000000000003E-3</v>
      </c>
      <c r="B139" s="86">
        <v>0.1875</v>
      </c>
      <c r="C139" s="87">
        <v>811</v>
      </c>
      <c r="D139" s="15"/>
      <c r="E139" s="15">
        <f t="shared" si="43"/>
        <v>723.96640592865049</v>
      </c>
      <c r="F139" s="15">
        <f t="shared" si="44"/>
        <v>7574.8464969764445</v>
      </c>
      <c r="G139" s="15">
        <f t="shared" si="45"/>
        <v>532.58620689655174</v>
      </c>
      <c r="H139" s="15"/>
      <c r="I139" s="15">
        <f t="shared" si="46"/>
        <v>785.2396750127491</v>
      </c>
      <c r="J139" s="15">
        <f t="shared" si="47"/>
        <v>663.59434344878287</v>
      </c>
      <c r="K139" s="15"/>
      <c r="L139" s="15">
        <f t="shared" si="48"/>
        <v>787.6218810382677</v>
      </c>
      <c r="M139" s="15">
        <f t="shared" si="49"/>
        <v>546.53644618890723</v>
      </c>
      <c r="N139" s="15"/>
      <c r="O139" s="15">
        <f t="shared" si="50"/>
        <v>793.31756422480942</v>
      </c>
      <c r="P139" s="15">
        <f t="shared" si="51"/>
        <v>312.66853494373981</v>
      </c>
      <c r="Q139" s="3"/>
      <c r="AC139" s="5"/>
      <c r="AD139" s="5"/>
      <c r="AE139" s="5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</row>
    <row r="140" spans="1:43" x14ac:dyDescent="0.3">
      <c r="A140" s="86">
        <v>1.2500000000000001E-2</v>
      </c>
      <c r="B140" s="86">
        <v>0.375</v>
      </c>
      <c r="C140" s="87">
        <v>886</v>
      </c>
      <c r="D140" s="15"/>
      <c r="E140" s="15">
        <f t="shared" si="43"/>
        <v>703.09337984279512</v>
      </c>
      <c r="F140" s="15">
        <f t="shared" si="44"/>
        <v>33454.831697332025</v>
      </c>
      <c r="G140" s="15">
        <f t="shared" si="45"/>
        <v>532.58620689655174</v>
      </c>
      <c r="H140" s="15"/>
      <c r="I140" s="15">
        <f t="shared" si="46"/>
        <v>778.77949233737331</v>
      </c>
      <c r="J140" s="15">
        <f t="shared" si="47"/>
        <v>11496.237263431389</v>
      </c>
      <c r="K140" s="15"/>
      <c r="L140" s="15">
        <f t="shared" si="48"/>
        <v>780.71822719995123</v>
      </c>
      <c r="M140" s="15">
        <f t="shared" si="49"/>
        <v>11084.251683921089</v>
      </c>
      <c r="N140" s="15"/>
      <c r="O140" s="15">
        <f t="shared" si="50"/>
        <v>789.33221882784335</v>
      </c>
      <c r="P140" s="15">
        <f t="shared" si="51"/>
        <v>9344.6599167479635</v>
      </c>
      <c r="Q140" s="3"/>
      <c r="AC140" s="5"/>
      <c r="AD140" s="5"/>
      <c r="AE140" s="5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</row>
    <row r="141" spans="1:43" x14ac:dyDescent="0.3">
      <c r="A141" s="86">
        <v>1.2500000000000001E-2</v>
      </c>
      <c r="B141" s="86">
        <v>0.375</v>
      </c>
      <c r="C141" s="87">
        <v>832</v>
      </c>
      <c r="D141" s="15"/>
      <c r="E141" s="15">
        <f t="shared" si="43"/>
        <v>703.09337984279512</v>
      </c>
      <c r="F141" s="15">
        <f t="shared" si="44"/>
        <v>16616.9167203539</v>
      </c>
      <c r="G141" s="15">
        <f t="shared" si="45"/>
        <v>532.58620689655174</v>
      </c>
      <c r="H141" s="15"/>
      <c r="I141" s="15">
        <f t="shared" si="46"/>
        <v>778.77949233737331</v>
      </c>
      <c r="J141" s="15">
        <f t="shared" si="47"/>
        <v>2832.4224358677061</v>
      </c>
      <c r="K141" s="15"/>
      <c r="L141" s="15">
        <f t="shared" si="48"/>
        <v>780.71822719995123</v>
      </c>
      <c r="M141" s="15">
        <f t="shared" si="49"/>
        <v>2629.8202215158217</v>
      </c>
      <c r="N141" s="15"/>
      <c r="O141" s="15">
        <f t="shared" si="50"/>
        <v>789.33221882784335</v>
      </c>
      <c r="P141" s="15">
        <f t="shared" si="51"/>
        <v>1820.5395501550456</v>
      </c>
      <c r="Q141" s="3"/>
      <c r="AC141" s="5"/>
      <c r="AD141" s="5"/>
      <c r="AE141" s="5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</row>
    <row r="142" spans="1:43" x14ac:dyDescent="0.3">
      <c r="A142" s="86">
        <v>1.2500000000000001E-2</v>
      </c>
      <c r="B142" s="86">
        <v>0.375</v>
      </c>
      <c r="C142" s="87">
        <v>762</v>
      </c>
      <c r="D142" s="15"/>
      <c r="E142" s="15">
        <f t="shared" si="43"/>
        <v>703.09337984279512</v>
      </c>
      <c r="F142" s="15">
        <f t="shared" si="44"/>
        <v>3469.9898983452167</v>
      </c>
      <c r="G142" s="15">
        <f t="shared" si="45"/>
        <v>532.58620689655174</v>
      </c>
      <c r="H142" s="15"/>
      <c r="I142" s="15">
        <f t="shared" si="46"/>
        <v>778.77949233737331</v>
      </c>
      <c r="J142" s="15">
        <f t="shared" si="47"/>
        <v>281.55136309996971</v>
      </c>
      <c r="K142" s="15"/>
      <c r="L142" s="15">
        <f t="shared" si="48"/>
        <v>780.71822719995123</v>
      </c>
      <c r="M142" s="15">
        <f t="shared" si="49"/>
        <v>350.37202950899405</v>
      </c>
      <c r="N142" s="15"/>
      <c r="O142" s="15">
        <f t="shared" si="50"/>
        <v>789.33221882784335</v>
      </c>
      <c r="P142" s="15">
        <f t="shared" si="51"/>
        <v>747.05018605311443</v>
      </c>
      <c r="Q142" s="3"/>
      <c r="AC142" s="5"/>
      <c r="AD142" s="5"/>
      <c r="AE142" s="5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</row>
    <row r="143" spans="1:43" x14ac:dyDescent="0.3">
      <c r="A143" s="86">
        <v>1.2500000000000001E-2</v>
      </c>
      <c r="B143" s="86">
        <v>0.375</v>
      </c>
      <c r="C143" s="87">
        <v>821</v>
      </c>
      <c r="D143" s="15"/>
      <c r="E143" s="15">
        <f t="shared" si="43"/>
        <v>703.09337984279512</v>
      </c>
      <c r="F143" s="15">
        <f t="shared" si="44"/>
        <v>13901.971076895394</v>
      </c>
      <c r="G143" s="15">
        <f t="shared" si="45"/>
        <v>532.58620689655174</v>
      </c>
      <c r="H143" s="15"/>
      <c r="I143" s="15">
        <f t="shared" si="46"/>
        <v>778.77949233737331</v>
      </c>
      <c r="J143" s="15">
        <f t="shared" si="47"/>
        <v>1782.5712672899188</v>
      </c>
      <c r="K143" s="15"/>
      <c r="L143" s="15">
        <f t="shared" si="48"/>
        <v>780.71822719995123</v>
      </c>
      <c r="M143" s="15">
        <f t="shared" si="49"/>
        <v>1622.621219914749</v>
      </c>
      <c r="N143" s="15"/>
      <c r="O143" s="15">
        <f t="shared" si="50"/>
        <v>789.33221882784335</v>
      </c>
      <c r="P143" s="15">
        <f t="shared" si="51"/>
        <v>1002.8483643675993</v>
      </c>
      <c r="Q143" s="3"/>
      <c r="AC143" s="5"/>
      <c r="AD143" s="5"/>
      <c r="AE143" s="5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</row>
    <row r="144" spans="1:43" x14ac:dyDescent="0.3">
      <c r="A144" s="86">
        <v>1.2500000000000001E-2</v>
      </c>
      <c r="B144" s="86">
        <v>0.375</v>
      </c>
      <c r="C144" s="87">
        <v>788</v>
      </c>
      <c r="D144" s="15"/>
      <c r="E144" s="15">
        <f t="shared" si="43"/>
        <v>703.09337984279512</v>
      </c>
      <c r="F144" s="15">
        <f t="shared" si="44"/>
        <v>7209.1341465198711</v>
      </c>
      <c r="G144" s="15">
        <f t="shared" si="45"/>
        <v>532.58620689655174</v>
      </c>
      <c r="H144" s="15"/>
      <c r="I144" s="15">
        <f t="shared" si="46"/>
        <v>778.77949233737331</v>
      </c>
      <c r="J144" s="15">
        <f t="shared" si="47"/>
        <v>85.01776155655746</v>
      </c>
      <c r="K144" s="15"/>
      <c r="L144" s="15">
        <f t="shared" si="48"/>
        <v>780.71822719995123</v>
      </c>
      <c r="M144" s="15">
        <f t="shared" si="49"/>
        <v>53.024215111530111</v>
      </c>
      <c r="N144" s="15"/>
      <c r="O144" s="15">
        <f t="shared" si="50"/>
        <v>789.33221882784335</v>
      </c>
      <c r="P144" s="15">
        <f t="shared" si="51"/>
        <v>1.7748070052603058</v>
      </c>
      <c r="Q144" s="3"/>
      <c r="AC144" s="5"/>
      <c r="AD144" s="5"/>
      <c r="AE144" s="5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</row>
    <row r="145" spans="1:43" x14ac:dyDescent="0.3">
      <c r="A145" s="86">
        <v>2.5000000000000001E-2</v>
      </c>
      <c r="B145" s="86">
        <v>0.75</v>
      </c>
      <c r="C145" s="87">
        <v>749</v>
      </c>
      <c r="D145" s="15"/>
      <c r="E145" s="15">
        <f t="shared" si="43"/>
        <v>676.74027136093105</v>
      </c>
      <c r="F145" s="15">
        <f t="shared" si="44"/>
        <v>5221.4683829918822</v>
      </c>
      <c r="G145" s="15">
        <f t="shared" si="45"/>
        <v>532.58620689655174</v>
      </c>
      <c r="H145" s="15"/>
      <c r="I145" s="15">
        <f t="shared" si="46"/>
        <v>770.88574173297172</v>
      </c>
      <c r="J145" s="15">
        <f t="shared" si="47"/>
        <v>478.98569120234015</v>
      </c>
      <c r="K145" s="15"/>
      <c r="L145" s="15">
        <f t="shared" si="48"/>
        <v>772.04554826372942</v>
      </c>
      <c r="M145" s="15">
        <f t="shared" si="49"/>
        <v>531.09729477588189</v>
      </c>
      <c r="N145" s="15"/>
      <c r="O145" s="15">
        <f t="shared" si="50"/>
        <v>784.16267170477954</v>
      </c>
      <c r="P145" s="15">
        <f t="shared" si="51"/>
        <v>1236.4134814181039</v>
      </c>
      <c r="Q145" s="3"/>
      <c r="AC145" s="5"/>
      <c r="AD145" s="5"/>
      <c r="AE145" s="5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</row>
    <row r="146" spans="1:43" x14ac:dyDescent="0.3">
      <c r="A146" s="86">
        <v>2.5000000000000001E-2</v>
      </c>
      <c r="B146" s="86">
        <v>0.75</v>
      </c>
      <c r="C146" s="87">
        <v>785</v>
      </c>
      <c r="D146" s="15"/>
      <c r="E146" s="15">
        <f t="shared" si="43"/>
        <v>676.74027136093105</v>
      </c>
      <c r="F146" s="15">
        <f t="shared" si="44"/>
        <v>11720.168845004846</v>
      </c>
      <c r="G146" s="15">
        <f t="shared" si="45"/>
        <v>532.58620689655174</v>
      </c>
      <c r="H146" s="15"/>
      <c r="I146" s="15">
        <f t="shared" si="46"/>
        <v>770.88574173297172</v>
      </c>
      <c r="J146" s="15">
        <f t="shared" si="47"/>
        <v>199.21228642837605</v>
      </c>
      <c r="K146" s="15"/>
      <c r="L146" s="15">
        <f t="shared" si="48"/>
        <v>772.04554826372942</v>
      </c>
      <c r="M146" s="15">
        <f t="shared" si="49"/>
        <v>167.81781978736396</v>
      </c>
      <c r="N146" s="15"/>
      <c r="O146" s="15">
        <f t="shared" si="50"/>
        <v>784.16267170477954</v>
      </c>
      <c r="P146" s="15">
        <f t="shared" si="51"/>
        <v>0.70111867397680017</v>
      </c>
      <c r="Q146" s="3"/>
      <c r="AC146" s="5"/>
      <c r="AD146" s="5"/>
      <c r="AE146" s="5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</row>
    <row r="147" spans="1:43" x14ac:dyDescent="0.3">
      <c r="A147" s="86">
        <v>2.5000000000000001E-2</v>
      </c>
      <c r="B147" s="86">
        <v>0.75</v>
      </c>
      <c r="C147" s="87">
        <v>823</v>
      </c>
      <c r="D147" s="15"/>
      <c r="E147" s="15">
        <f t="shared" si="43"/>
        <v>676.74027136093105</v>
      </c>
      <c r="F147" s="15">
        <f t="shared" si="44"/>
        <v>21391.908221574085</v>
      </c>
      <c r="G147" s="15">
        <f t="shared" si="45"/>
        <v>532.58620689655174</v>
      </c>
      <c r="H147" s="15"/>
      <c r="I147" s="15">
        <f t="shared" si="46"/>
        <v>770.88574173297172</v>
      </c>
      <c r="J147" s="15">
        <f t="shared" si="47"/>
        <v>2715.895914722525</v>
      </c>
      <c r="K147" s="15"/>
      <c r="L147" s="15">
        <f t="shared" si="48"/>
        <v>772.04554826372942</v>
      </c>
      <c r="M147" s="15">
        <f t="shared" si="49"/>
        <v>2596.3561517439284</v>
      </c>
      <c r="N147" s="15"/>
      <c r="O147" s="15">
        <f t="shared" si="50"/>
        <v>784.16267170477954</v>
      </c>
      <c r="P147" s="15">
        <f t="shared" si="51"/>
        <v>1508.3380691107318</v>
      </c>
      <c r="Q147" s="3"/>
      <c r="AC147" s="5"/>
      <c r="AD147" s="5"/>
      <c r="AE147" s="5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</row>
    <row r="148" spans="1:43" x14ac:dyDescent="0.3">
      <c r="A148" s="86">
        <v>2.5000000000000001E-2</v>
      </c>
      <c r="B148" s="86">
        <v>0.75</v>
      </c>
      <c r="C148" s="87">
        <v>717</v>
      </c>
      <c r="D148" s="15"/>
      <c r="E148" s="15">
        <f t="shared" si="43"/>
        <v>676.74027136093105</v>
      </c>
      <c r="F148" s="15">
        <f t="shared" si="44"/>
        <v>1620.845750091469</v>
      </c>
      <c r="G148" s="15">
        <f t="shared" si="45"/>
        <v>532.58620689655174</v>
      </c>
      <c r="H148" s="15"/>
      <c r="I148" s="15">
        <f t="shared" si="46"/>
        <v>770.88574173297172</v>
      </c>
      <c r="J148" s="15">
        <f t="shared" si="47"/>
        <v>2903.6731621125305</v>
      </c>
      <c r="K148" s="15"/>
      <c r="L148" s="15">
        <f t="shared" si="48"/>
        <v>772.04554826372942</v>
      </c>
      <c r="M148" s="15">
        <f t="shared" si="49"/>
        <v>3030.0123836545645</v>
      </c>
      <c r="N148" s="15"/>
      <c r="O148" s="15">
        <f t="shared" si="50"/>
        <v>784.16267170477954</v>
      </c>
      <c r="P148" s="15">
        <f t="shared" si="51"/>
        <v>4510.824470523994</v>
      </c>
      <c r="Q148" s="3"/>
      <c r="AC148" s="5"/>
      <c r="AD148" s="5"/>
      <c r="AE148" s="5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</row>
    <row r="149" spans="1:43" x14ac:dyDescent="0.3">
      <c r="A149" s="86">
        <v>2.5000000000000001E-2</v>
      </c>
      <c r="B149" s="86">
        <v>0.75</v>
      </c>
      <c r="C149" s="87">
        <v>721</v>
      </c>
      <c r="D149" s="15"/>
      <c r="E149" s="15">
        <f t="shared" si="43"/>
        <v>676.74027136093105</v>
      </c>
      <c r="F149" s="15">
        <f t="shared" si="44"/>
        <v>1958.9235792040206</v>
      </c>
      <c r="G149" s="15">
        <f t="shared" si="45"/>
        <v>532.58620689655174</v>
      </c>
      <c r="H149" s="15"/>
      <c r="I149" s="15">
        <f t="shared" si="46"/>
        <v>770.88574173297172</v>
      </c>
      <c r="J149" s="15">
        <f t="shared" si="47"/>
        <v>2488.5872282487567</v>
      </c>
      <c r="K149" s="15"/>
      <c r="L149" s="15">
        <f t="shared" si="48"/>
        <v>772.04554826372942</v>
      </c>
      <c r="M149" s="15">
        <f t="shared" si="49"/>
        <v>2605.6479975447292</v>
      </c>
      <c r="N149" s="15"/>
      <c r="O149" s="15">
        <f t="shared" si="50"/>
        <v>784.16267170477954</v>
      </c>
      <c r="P149" s="15">
        <f t="shared" si="51"/>
        <v>3989.5230968857582</v>
      </c>
      <c r="Q149" s="3"/>
      <c r="AC149" s="5"/>
      <c r="AD149" s="5"/>
      <c r="AE149" s="5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</row>
    <row r="150" spans="1:43" x14ac:dyDescent="0.3">
      <c r="A150" s="86">
        <v>0.05</v>
      </c>
      <c r="B150" s="86">
        <v>1.5</v>
      </c>
      <c r="C150" s="87">
        <v>636</v>
      </c>
      <c r="D150" s="15"/>
      <c r="E150" s="15">
        <f t="shared" si="43"/>
        <v>623.38666147157915</v>
      </c>
      <c r="F150" s="15">
        <f t="shared" si="44"/>
        <v>159.09630883254596</v>
      </c>
      <c r="G150" s="15">
        <f t="shared" si="45"/>
        <v>532.58620689655174</v>
      </c>
      <c r="H150" s="15"/>
      <c r="I150" s="15">
        <f t="shared" si="46"/>
        <v>755.71126048811084</v>
      </c>
      <c r="J150" s="15">
        <f t="shared" si="47"/>
        <v>14330.785887652328</v>
      </c>
      <c r="K150" s="15"/>
      <c r="L150" s="15">
        <f t="shared" si="48"/>
        <v>755.89482618454747</v>
      </c>
      <c r="M150" s="15">
        <f t="shared" si="49"/>
        <v>14374.76934582285</v>
      </c>
      <c r="N150" s="15"/>
      <c r="O150" s="15">
        <f t="shared" si="50"/>
        <v>771.85704666810693</v>
      </c>
      <c r="P150" s="15">
        <f t="shared" si="51"/>
        <v>18457.137129380186</v>
      </c>
      <c r="Q150" s="3"/>
      <c r="AC150" s="5"/>
      <c r="AD150" s="5"/>
      <c r="AE150" s="5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</row>
    <row r="151" spans="1:43" x14ac:dyDescent="0.3">
      <c r="A151" s="86">
        <v>0.05</v>
      </c>
      <c r="B151" s="86">
        <v>1.5</v>
      </c>
      <c r="C151" s="87">
        <v>951</v>
      </c>
      <c r="D151" s="15"/>
      <c r="E151" s="15">
        <f t="shared" si="43"/>
        <v>623.38666147157915</v>
      </c>
      <c r="F151" s="15">
        <f t="shared" si="44"/>
        <v>107330.49958173769</v>
      </c>
      <c r="G151" s="15">
        <f t="shared" si="45"/>
        <v>532.58620689655174</v>
      </c>
      <c r="H151" s="15"/>
      <c r="I151" s="15">
        <f t="shared" si="46"/>
        <v>755.71126048811084</v>
      </c>
      <c r="J151" s="15">
        <f t="shared" si="47"/>
        <v>38137.691780142501</v>
      </c>
      <c r="K151" s="15"/>
      <c r="L151" s="15">
        <f t="shared" si="48"/>
        <v>755.89482618454747</v>
      </c>
      <c r="M151" s="15">
        <f t="shared" si="49"/>
        <v>38066.028849557944</v>
      </c>
      <c r="N151" s="15"/>
      <c r="O151" s="15">
        <f t="shared" si="50"/>
        <v>771.85704666810693</v>
      </c>
      <c r="P151" s="15">
        <f t="shared" si="51"/>
        <v>32092.197728472816</v>
      </c>
      <c r="Q151" s="3"/>
      <c r="AC151" s="5"/>
      <c r="AD151" s="5"/>
      <c r="AE151" s="5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</row>
    <row r="152" spans="1:43" x14ac:dyDescent="0.3">
      <c r="A152" s="86">
        <v>0.05</v>
      </c>
      <c r="B152" s="86">
        <v>1.5</v>
      </c>
      <c r="C152" s="87">
        <v>568</v>
      </c>
      <c r="D152" s="15"/>
      <c r="E152" s="15">
        <f t="shared" si="43"/>
        <v>623.38666147157915</v>
      </c>
      <c r="F152" s="15">
        <f t="shared" si="44"/>
        <v>3067.6822689673099</v>
      </c>
      <c r="G152" s="15">
        <f t="shared" si="45"/>
        <v>532.58620689655174</v>
      </c>
      <c r="H152" s="15"/>
      <c r="I152" s="15">
        <f t="shared" si="46"/>
        <v>755.71126048811084</v>
      </c>
      <c r="J152" s="15">
        <f t="shared" si="47"/>
        <v>35235.517314035402</v>
      </c>
      <c r="K152" s="15"/>
      <c r="L152" s="15">
        <f t="shared" si="48"/>
        <v>755.89482618454747</v>
      </c>
      <c r="M152" s="15">
        <f t="shared" si="49"/>
        <v>35304.465706921306</v>
      </c>
      <c r="N152" s="15"/>
      <c r="O152" s="15">
        <f t="shared" si="50"/>
        <v>771.85704666810693</v>
      </c>
      <c r="P152" s="15">
        <f t="shared" si="51"/>
        <v>41557.695476242727</v>
      </c>
      <c r="Q152" s="3"/>
      <c r="AC152" s="5"/>
      <c r="AD152" s="5"/>
      <c r="AE152" s="5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</row>
    <row r="153" spans="1:43" x14ac:dyDescent="0.3">
      <c r="A153" s="86">
        <v>0.05</v>
      </c>
      <c r="B153" s="86">
        <v>1.5</v>
      </c>
      <c r="C153" s="87">
        <v>904</v>
      </c>
      <c r="D153" s="15"/>
      <c r="E153" s="15">
        <f t="shared" si="43"/>
        <v>623.38666147157915</v>
      </c>
      <c r="F153" s="15">
        <f t="shared" si="44"/>
        <v>78743.84576006612</v>
      </c>
      <c r="G153" s="15">
        <f t="shared" si="45"/>
        <v>532.58620689655174</v>
      </c>
      <c r="H153" s="15"/>
      <c r="I153" s="15">
        <f t="shared" si="46"/>
        <v>755.71126048811084</v>
      </c>
      <c r="J153" s="15">
        <f t="shared" si="47"/>
        <v>21989.550266024919</v>
      </c>
      <c r="K153" s="15"/>
      <c r="L153" s="15">
        <f t="shared" si="48"/>
        <v>755.89482618454747</v>
      </c>
      <c r="M153" s="15">
        <f t="shared" si="49"/>
        <v>21935.142510905407</v>
      </c>
      <c r="N153" s="15"/>
      <c r="O153" s="15">
        <f t="shared" si="50"/>
        <v>771.85704666810693</v>
      </c>
      <c r="P153" s="15">
        <f t="shared" si="51"/>
        <v>17461.760115274868</v>
      </c>
      <c r="Q153" s="3"/>
      <c r="AC153" s="5"/>
      <c r="AD153" s="5"/>
      <c r="AE153" s="5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</row>
    <row r="154" spans="1:43" x14ac:dyDescent="0.3">
      <c r="A154" s="86">
        <v>0.05</v>
      </c>
      <c r="B154" s="86">
        <v>1.5</v>
      </c>
      <c r="C154" s="87">
        <v>907</v>
      </c>
      <c r="D154" s="15"/>
      <c r="E154" s="15">
        <f t="shared" si="43"/>
        <v>623.38666147157915</v>
      </c>
      <c r="F154" s="15">
        <f t="shared" si="44"/>
        <v>80436.525791236651</v>
      </c>
      <c r="G154" s="15">
        <f t="shared" si="45"/>
        <v>532.58620689655174</v>
      </c>
      <c r="H154" s="15"/>
      <c r="I154" s="15">
        <f t="shared" si="46"/>
        <v>755.71126048811084</v>
      </c>
      <c r="J154" s="15">
        <f t="shared" si="47"/>
        <v>22888.282703096254</v>
      </c>
      <c r="K154" s="15"/>
      <c r="L154" s="15">
        <f t="shared" si="48"/>
        <v>755.89482618454747</v>
      </c>
      <c r="M154" s="15">
        <f t="shared" si="49"/>
        <v>22832.773553798121</v>
      </c>
      <c r="N154" s="15"/>
      <c r="O154" s="15">
        <f t="shared" si="50"/>
        <v>771.85704666810693</v>
      </c>
      <c r="P154" s="15">
        <f t="shared" si="51"/>
        <v>18263.617835266228</v>
      </c>
      <c r="Q154" s="3"/>
      <c r="AC154" s="5"/>
      <c r="AD154" s="5"/>
      <c r="AE154" s="5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</row>
    <row r="155" spans="1:43" x14ac:dyDescent="0.3">
      <c r="A155" s="86">
        <v>0.1</v>
      </c>
      <c r="B155" s="86">
        <v>3</v>
      </c>
      <c r="C155" s="87">
        <v>287</v>
      </c>
      <c r="D155" s="15"/>
      <c r="E155" s="15">
        <f t="shared" si="43"/>
        <v>149.27997183689237</v>
      </c>
      <c r="F155" s="15">
        <f t="shared" si="44"/>
        <v>18966.80615724716</v>
      </c>
      <c r="G155" s="15">
        <f t="shared" si="45"/>
        <v>532.58620689655174</v>
      </c>
      <c r="H155" s="15"/>
      <c r="I155" s="15">
        <f t="shared" si="46"/>
        <v>300.37597350805521</v>
      </c>
      <c r="J155" s="15">
        <f t="shared" si="47"/>
        <v>178.91666728819482</v>
      </c>
      <c r="K155" s="15"/>
      <c r="L155" s="15">
        <f t="shared" si="48"/>
        <v>305.46325611728537</v>
      </c>
      <c r="M155" s="15">
        <f t="shared" si="49"/>
        <v>340.89182645247558</v>
      </c>
      <c r="N155" s="15"/>
      <c r="O155" s="15">
        <f t="shared" si="50"/>
        <v>276.46522933422966</v>
      </c>
      <c r="P155" s="15">
        <f t="shared" si="51"/>
        <v>110.98139298037522</v>
      </c>
      <c r="Q155" s="3"/>
      <c r="AE155" s="5"/>
      <c r="AF155" s="3"/>
      <c r="AG155" s="3"/>
      <c r="AH155" s="3"/>
      <c r="AI155" s="3"/>
      <c r="AL155" s="3"/>
      <c r="AM155" s="3"/>
      <c r="AN155" s="3"/>
      <c r="AO155" s="3"/>
      <c r="AP155" s="3"/>
      <c r="AQ155" s="3"/>
    </row>
    <row r="156" spans="1:43" x14ac:dyDescent="0.3">
      <c r="A156" s="86">
        <v>0.1</v>
      </c>
      <c r="B156" s="86">
        <v>3</v>
      </c>
      <c r="C156" s="87">
        <v>347</v>
      </c>
      <c r="D156" s="15"/>
      <c r="E156" s="15">
        <f t="shared" si="43"/>
        <v>149.27997183689237</v>
      </c>
      <c r="F156" s="15">
        <f t="shared" si="44"/>
        <v>39093.209536820075</v>
      </c>
      <c r="G156" s="15">
        <f t="shared" si="45"/>
        <v>532.58620689655174</v>
      </c>
      <c r="H156" s="15"/>
      <c r="I156" s="15">
        <f t="shared" si="46"/>
        <v>300.37597350805521</v>
      </c>
      <c r="J156" s="15">
        <f t="shared" si="47"/>
        <v>2173.7998463215695</v>
      </c>
      <c r="K156" s="15"/>
      <c r="L156" s="15">
        <f t="shared" si="48"/>
        <v>305.46325611728537</v>
      </c>
      <c r="M156" s="15">
        <f t="shared" si="49"/>
        <v>1725.3010923782313</v>
      </c>
      <c r="N156" s="15"/>
      <c r="O156" s="15">
        <f t="shared" si="50"/>
        <v>276.46522933422966</v>
      </c>
      <c r="P156" s="15">
        <f t="shared" si="51"/>
        <v>4975.1538728728156</v>
      </c>
      <c r="Q156" s="3"/>
      <c r="AE156" s="5"/>
      <c r="AF156" s="3"/>
      <c r="AG156" s="3"/>
      <c r="AH156" s="3"/>
      <c r="AI156" s="3"/>
      <c r="AL156" s="3"/>
      <c r="AM156" s="3"/>
      <c r="AN156" s="3"/>
      <c r="AO156" s="3"/>
      <c r="AP156" s="3"/>
      <c r="AQ156" s="3"/>
    </row>
    <row r="157" spans="1:43" x14ac:dyDescent="0.3">
      <c r="A157" s="86">
        <v>0.1</v>
      </c>
      <c r="B157" s="86">
        <v>3</v>
      </c>
      <c r="C157" s="87">
        <v>387</v>
      </c>
      <c r="D157" s="15"/>
      <c r="E157" s="15">
        <f t="shared" si="43"/>
        <v>149.27997183689237</v>
      </c>
      <c r="F157" s="15">
        <f t="shared" si="44"/>
        <v>56510.811789868683</v>
      </c>
      <c r="G157" s="15">
        <f t="shared" si="45"/>
        <v>532.58620689655174</v>
      </c>
      <c r="H157" s="15"/>
      <c r="I157" s="15">
        <f t="shared" si="46"/>
        <v>300.37597350805521</v>
      </c>
      <c r="J157" s="15">
        <f t="shared" si="47"/>
        <v>7503.7219656771531</v>
      </c>
      <c r="K157" s="15"/>
      <c r="L157" s="15">
        <f t="shared" si="48"/>
        <v>305.46325611728537</v>
      </c>
      <c r="M157" s="15">
        <f t="shared" si="49"/>
        <v>6648.2406029954018</v>
      </c>
      <c r="N157" s="15"/>
      <c r="O157" s="15">
        <f t="shared" si="50"/>
        <v>276.46522933422966</v>
      </c>
      <c r="P157" s="15">
        <f t="shared" si="51"/>
        <v>12217.935526134443</v>
      </c>
      <c r="Q157" s="3"/>
      <c r="AE157" s="5"/>
      <c r="AF157" s="3"/>
      <c r="AG157" s="3"/>
      <c r="AH157" s="3"/>
      <c r="AI157" s="3"/>
      <c r="AL157" s="3"/>
      <c r="AM157" s="3"/>
      <c r="AN157" s="3"/>
      <c r="AO157" s="3"/>
      <c r="AP157" s="3"/>
      <c r="AQ157" s="3"/>
    </row>
    <row r="158" spans="1:43" x14ac:dyDescent="0.3">
      <c r="A158" s="86">
        <v>0.1</v>
      </c>
      <c r="B158" s="86">
        <v>3</v>
      </c>
      <c r="C158" s="87">
        <v>187</v>
      </c>
      <c r="D158" s="15"/>
      <c r="E158" s="15">
        <f t="shared" si="43"/>
        <v>149.27997183689237</v>
      </c>
      <c r="F158" s="15">
        <f t="shared" si="44"/>
        <v>1422.8005246256325</v>
      </c>
      <c r="G158" s="15">
        <f t="shared" si="45"/>
        <v>532.58620689655174</v>
      </c>
      <c r="H158" s="15"/>
      <c r="I158" s="15">
        <f t="shared" si="46"/>
        <v>300.37597350805521</v>
      </c>
      <c r="J158" s="15">
        <f t="shared" si="47"/>
        <v>12854.111368899237</v>
      </c>
      <c r="K158" s="15"/>
      <c r="L158" s="15">
        <f t="shared" si="48"/>
        <v>305.46325611728537</v>
      </c>
      <c r="M158" s="15">
        <f t="shared" si="49"/>
        <v>14033.543049909549</v>
      </c>
      <c r="N158" s="15"/>
      <c r="O158" s="15">
        <f t="shared" si="50"/>
        <v>276.46522933422966</v>
      </c>
      <c r="P158" s="15">
        <f t="shared" si="51"/>
        <v>8004.0272598263073</v>
      </c>
      <c r="Q158" s="3"/>
      <c r="AE158" s="5"/>
      <c r="AF158" s="3"/>
      <c r="AG158" s="3"/>
      <c r="AH158" s="3"/>
      <c r="AI158" s="3"/>
      <c r="AL158" s="3"/>
      <c r="AM158" s="3"/>
      <c r="AN158" s="3"/>
      <c r="AO158" s="3"/>
      <c r="AP158" s="3"/>
      <c r="AQ158" s="3"/>
    </row>
    <row r="159" spans="1:43" x14ac:dyDescent="0.3">
      <c r="A159" s="86">
        <v>0.1</v>
      </c>
      <c r="B159" s="86">
        <v>3</v>
      </c>
      <c r="C159" s="87">
        <v>187</v>
      </c>
      <c r="D159" s="15"/>
      <c r="E159" s="15">
        <f t="shared" si="43"/>
        <v>149.27997183689237</v>
      </c>
      <c r="F159" s="15">
        <f t="shared" si="44"/>
        <v>1422.8005246256325</v>
      </c>
      <c r="G159" s="15">
        <f t="shared" si="45"/>
        <v>532.58620689655174</v>
      </c>
      <c r="H159" s="15"/>
      <c r="I159" s="15">
        <f t="shared" si="46"/>
        <v>300.37597350805521</v>
      </c>
      <c r="J159" s="15">
        <f t="shared" si="47"/>
        <v>12854.111368899237</v>
      </c>
      <c r="K159" s="15"/>
      <c r="L159" s="15">
        <f t="shared" si="48"/>
        <v>305.46325611728537</v>
      </c>
      <c r="M159" s="15">
        <f t="shared" si="49"/>
        <v>14033.543049909549</v>
      </c>
      <c r="N159" s="15"/>
      <c r="O159" s="15">
        <f t="shared" si="50"/>
        <v>276.46522933422966</v>
      </c>
      <c r="P159" s="15">
        <f t="shared" si="51"/>
        <v>8004.0272598263073</v>
      </c>
      <c r="Q159" s="3"/>
      <c r="AE159" s="5"/>
      <c r="AF159" s="3"/>
      <c r="AG159" s="3"/>
      <c r="AH159" s="3"/>
      <c r="AI159" s="3"/>
      <c r="AL159" s="3"/>
      <c r="AM159" s="3"/>
      <c r="AN159" s="3"/>
      <c r="AO159" s="3"/>
      <c r="AP159" s="3"/>
      <c r="AQ159" s="3"/>
    </row>
    <row r="160" spans="1:43" x14ac:dyDescent="0.3">
      <c r="A160" s="86">
        <v>1.8749999999999999E-2</v>
      </c>
      <c r="B160" s="86">
        <v>6.25E-2</v>
      </c>
      <c r="C160" s="87">
        <v>789</v>
      </c>
      <c r="D160" s="15"/>
      <c r="E160" s="15">
        <f t="shared" si="43"/>
        <v>748.23862830897463</v>
      </c>
      <c r="F160" s="15">
        <f t="shared" si="44"/>
        <v>1661.4894221339248</v>
      </c>
      <c r="G160" s="15">
        <f t="shared" si="45"/>
        <v>532.58620689655174</v>
      </c>
      <c r="H160" s="15"/>
      <c r="I160" s="15">
        <f t="shared" si="46"/>
        <v>705.65005312527751</v>
      </c>
      <c r="J160" s="15">
        <f t="shared" si="47"/>
        <v>6947.2136440190616</v>
      </c>
      <c r="K160" s="15"/>
      <c r="L160" s="15">
        <f t="shared" si="48"/>
        <v>709.173626862687</v>
      </c>
      <c r="M160" s="15">
        <f t="shared" si="49"/>
        <v>6372.2498482575265</v>
      </c>
      <c r="N160" s="15"/>
      <c r="O160" s="15">
        <f t="shared" si="50"/>
        <v>698.67050554051514</v>
      </c>
      <c r="P160" s="15">
        <f t="shared" si="51"/>
        <v>8159.417569306107</v>
      </c>
      <c r="Q160" s="3"/>
      <c r="AE160" s="5"/>
      <c r="AF160" s="3"/>
      <c r="AG160" s="3"/>
      <c r="AH160" s="3"/>
      <c r="AI160" s="3"/>
      <c r="AL160" s="3"/>
      <c r="AM160" s="3"/>
      <c r="AN160" s="3"/>
      <c r="AO160" s="3"/>
      <c r="AP160" s="3"/>
      <c r="AQ160" s="3"/>
    </row>
    <row r="161" spans="1:43" x14ac:dyDescent="0.3">
      <c r="A161" s="86">
        <v>1.8749999999999999E-2</v>
      </c>
      <c r="B161" s="86">
        <v>6.25E-2</v>
      </c>
      <c r="C161" s="87">
        <v>765</v>
      </c>
      <c r="D161" s="15"/>
      <c r="E161" s="15">
        <f t="shared" si="43"/>
        <v>748.23862830897463</v>
      </c>
      <c r="F161" s="15">
        <f t="shared" si="44"/>
        <v>280.94358096470683</v>
      </c>
      <c r="G161" s="15">
        <f t="shared" si="45"/>
        <v>532.58620689655174</v>
      </c>
      <c r="H161" s="15"/>
      <c r="I161" s="15">
        <f t="shared" si="46"/>
        <v>705.65005312527751</v>
      </c>
      <c r="J161" s="15">
        <f t="shared" si="47"/>
        <v>3522.416194032382</v>
      </c>
      <c r="K161" s="15"/>
      <c r="L161" s="15">
        <f t="shared" si="48"/>
        <v>709.173626862687</v>
      </c>
      <c r="M161" s="15">
        <f t="shared" si="49"/>
        <v>3116.5839376665022</v>
      </c>
      <c r="N161" s="15"/>
      <c r="O161" s="15">
        <f t="shared" si="50"/>
        <v>698.67050554051514</v>
      </c>
      <c r="P161" s="15">
        <f t="shared" si="51"/>
        <v>4399.6018352508336</v>
      </c>
      <c r="Q161" s="3"/>
      <c r="AE161" s="5"/>
      <c r="AF161" s="3"/>
      <c r="AG161" s="3"/>
      <c r="AH161" s="3"/>
      <c r="AI161" s="3"/>
      <c r="AL161" s="3"/>
      <c r="AM161" s="3"/>
      <c r="AN161" s="3"/>
      <c r="AO161" s="3"/>
      <c r="AP161" s="3"/>
      <c r="AQ161" s="3"/>
    </row>
    <row r="162" spans="1:43" x14ac:dyDescent="0.3">
      <c r="A162" s="86">
        <v>1.8749999999999999E-2</v>
      </c>
      <c r="B162" s="86">
        <v>6.25E-2</v>
      </c>
      <c r="C162" s="87">
        <v>559</v>
      </c>
      <c r="D162" s="15"/>
      <c r="E162" s="15">
        <f t="shared" si="43"/>
        <v>748.23862830897463</v>
      </c>
      <c r="F162" s="15">
        <f t="shared" si="44"/>
        <v>35811.258444262254</v>
      </c>
      <c r="G162" s="15">
        <f t="shared" si="45"/>
        <v>532.58620689655174</v>
      </c>
      <c r="H162" s="15"/>
      <c r="I162" s="15">
        <f t="shared" si="46"/>
        <v>705.65005312527751</v>
      </c>
      <c r="J162" s="15">
        <f t="shared" si="47"/>
        <v>21506.238081646716</v>
      </c>
      <c r="K162" s="15"/>
      <c r="L162" s="15">
        <f t="shared" si="48"/>
        <v>709.173626862687</v>
      </c>
      <c r="M162" s="15">
        <f t="shared" si="49"/>
        <v>22552.118205093546</v>
      </c>
      <c r="N162" s="15"/>
      <c r="O162" s="15">
        <f t="shared" si="50"/>
        <v>698.67050554051514</v>
      </c>
      <c r="P162" s="15">
        <f t="shared" si="51"/>
        <v>19507.850117943071</v>
      </c>
      <c r="Q162" s="3"/>
      <c r="AE162" s="5"/>
      <c r="AF162" s="3"/>
      <c r="AG162" s="3"/>
      <c r="AH162" s="3"/>
      <c r="AI162" s="3"/>
      <c r="AL162" s="3"/>
      <c r="AM162" s="3"/>
      <c r="AN162" s="3"/>
      <c r="AO162" s="3"/>
      <c r="AP162" s="3"/>
      <c r="AQ162" s="3"/>
    </row>
    <row r="163" spans="1:43" x14ac:dyDescent="0.3">
      <c r="A163" s="86">
        <v>1.8749999999999999E-2</v>
      </c>
      <c r="B163" s="86">
        <v>6.25E-2</v>
      </c>
      <c r="C163" s="87">
        <v>801</v>
      </c>
      <c r="D163" s="15"/>
      <c r="E163" s="15">
        <f t="shared" si="43"/>
        <v>748.23862830897463</v>
      </c>
      <c r="F163" s="15">
        <f t="shared" si="44"/>
        <v>2783.7623427185335</v>
      </c>
      <c r="G163" s="15">
        <f t="shared" si="45"/>
        <v>532.58620689655174</v>
      </c>
      <c r="H163" s="15"/>
      <c r="I163" s="15">
        <f t="shared" si="46"/>
        <v>705.65005312527751</v>
      </c>
      <c r="J163" s="15">
        <f t="shared" si="47"/>
        <v>9091.6123690124004</v>
      </c>
      <c r="K163" s="15"/>
      <c r="L163" s="15">
        <f t="shared" si="48"/>
        <v>709.173626862687</v>
      </c>
      <c r="M163" s="15">
        <f t="shared" si="49"/>
        <v>8432.0828035530376</v>
      </c>
      <c r="N163" s="15"/>
      <c r="O163" s="15">
        <f t="shared" si="50"/>
        <v>698.67050554051514</v>
      </c>
      <c r="P163" s="15">
        <f t="shared" si="51"/>
        <v>10471.325436333744</v>
      </c>
      <c r="Q163" s="3"/>
      <c r="AE163" s="5"/>
      <c r="AF163" s="3"/>
      <c r="AG163" s="3"/>
      <c r="AH163" s="3"/>
      <c r="AI163" s="3"/>
      <c r="AL163" s="3"/>
      <c r="AM163" s="3"/>
      <c r="AN163" s="3"/>
      <c r="AO163" s="3"/>
      <c r="AP163" s="3"/>
      <c r="AQ163" s="3"/>
    </row>
    <row r="164" spans="1:43" x14ac:dyDescent="0.3">
      <c r="A164" s="86">
        <v>1.8749999999999999E-2</v>
      </c>
      <c r="B164" s="86">
        <v>6.25E-2</v>
      </c>
      <c r="C164" s="87">
        <v>700</v>
      </c>
      <c r="D164" s="15"/>
      <c r="E164" s="15">
        <f t="shared" si="43"/>
        <v>748.23862830897463</v>
      </c>
      <c r="F164" s="15">
        <f t="shared" si="44"/>
        <v>2326.9652611314082</v>
      </c>
      <c r="G164" s="15">
        <f t="shared" si="45"/>
        <v>532.58620689655174</v>
      </c>
      <c r="H164" s="15"/>
      <c r="I164" s="15">
        <f t="shared" si="46"/>
        <v>705.65005312527751</v>
      </c>
      <c r="J164" s="15">
        <f t="shared" si="47"/>
        <v>31.923100318458147</v>
      </c>
      <c r="K164" s="15"/>
      <c r="L164" s="15">
        <f t="shared" si="48"/>
        <v>709.173626862687</v>
      </c>
      <c r="M164" s="15">
        <f t="shared" si="49"/>
        <v>84.155429815812553</v>
      </c>
      <c r="N164" s="15"/>
      <c r="O164" s="15">
        <f t="shared" si="50"/>
        <v>698.67050554051514</v>
      </c>
      <c r="P164" s="15">
        <f t="shared" si="51"/>
        <v>1.7675555178009481</v>
      </c>
      <c r="Q164" s="3"/>
      <c r="AE164" s="5"/>
      <c r="AF164" s="3"/>
      <c r="AG164" s="3"/>
      <c r="AH164" s="3"/>
      <c r="AI164" s="3"/>
      <c r="AL164" s="3"/>
      <c r="AM164" s="3"/>
      <c r="AN164" s="3"/>
      <c r="AO164" s="3"/>
      <c r="AP164" s="3"/>
      <c r="AQ164" s="3"/>
    </row>
    <row r="165" spans="1:43" x14ac:dyDescent="0.3">
      <c r="A165" s="86">
        <v>3.7499999999999999E-2</v>
      </c>
      <c r="B165" s="86">
        <v>0.125</v>
      </c>
      <c r="C165" s="87">
        <v>739</v>
      </c>
      <c r="D165" s="15"/>
      <c r="E165" s="15">
        <f t="shared" si="43"/>
        <v>730.1266487720842</v>
      </c>
      <c r="F165" s="15">
        <f t="shared" si="44"/>
        <v>78.736362013954917</v>
      </c>
      <c r="G165" s="15">
        <f t="shared" si="45"/>
        <v>532.58620689655174</v>
      </c>
      <c r="H165" s="15"/>
      <c r="I165" s="15">
        <f t="shared" si="46"/>
        <v>686.2124333038214</v>
      </c>
      <c r="J165" s="15">
        <f t="shared" si="47"/>
        <v>2786.527197703504</v>
      </c>
      <c r="K165" s="15"/>
      <c r="L165" s="15">
        <f t="shared" si="48"/>
        <v>687.89974155601237</v>
      </c>
      <c r="M165" s="15">
        <f t="shared" si="49"/>
        <v>2611.2364130423289</v>
      </c>
      <c r="N165" s="15"/>
      <c r="O165" s="15">
        <f t="shared" si="50"/>
        <v>680.12647898493015</v>
      </c>
      <c r="P165" s="15">
        <f t="shared" si="51"/>
        <v>3466.091476711872</v>
      </c>
      <c r="Q165" s="3"/>
    </row>
    <row r="166" spans="1:43" x14ac:dyDescent="0.3">
      <c r="A166" s="86">
        <v>3.7499999999999999E-2</v>
      </c>
      <c r="B166" s="86">
        <v>0.125</v>
      </c>
      <c r="C166" s="87">
        <v>669</v>
      </c>
      <c r="D166" s="15"/>
      <c r="E166" s="15">
        <f t="shared" si="43"/>
        <v>730.1266487720842</v>
      </c>
      <c r="F166" s="15">
        <f t="shared" si="44"/>
        <v>3736.4671901057422</v>
      </c>
      <c r="G166" s="15">
        <f t="shared" si="45"/>
        <v>532.58620689655174</v>
      </c>
      <c r="H166" s="15"/>
      <c r="I166" s="15">
        <f t="shared" si="46"/>
        <v>686.2124333038214</v>
      </c>
      <c r="J166" s="15">
        <f t="shared" si="47"/>
        <v>296.26786023850002</v>
      </c>
      <c r="K166" s="15"/>
      <c r="L166" s="15">
        <f t="shared" si="48"/>
        <v>687.89974155601237</v>
      </c>
      <c r="M166" s="15">
        <f t="shared" si="49"/>
        <v>357.200230884061</v>
      </c>
      <c r="N166" s="15"/>
      <c r="O166" s="15">
        <f t="shared" si="50"/>
        <v>680.12647898493015</v>
      </c>
      <c r="P166" s="15">
        <f t="shared" si="51"/>
        <v>123.79853460209215</v>
      </c>
      <c r="Q166" s="3"/>
    </row>
    <row r="167" spans="1:43" x14ac:dyDescent="0.3">
      <c r="A167" s="86">
        <v>3.7499999999999999E-2</v>
      </c>
      <c r="B167" s="86">
        <v>0.125</v>
      </c>
      <c r="C167" s="87">
        <v>732</v>
      </c>
      <c r="D167" s="15"/>
      <c r="E167" s="15">
        <f t="shared" si="43"/>
        <v>730.1266487720842</v>
      </c>
      <c r="F167" s="15">
        <f t="shared" si="44"/>
        <v>3.5094448231336539</v>
      </c>
      <c r="G167" s="15">
        <f t="shared" si="45"/>
        <v>532.58620689655174</v>
      </c>
      <c r="H167" s="15"/>
      <c r="I167" s="15">
        <f t="shared" si="46"/>
        <v>686.2124333038214</v>
      </c>
      <c r="J167" s="15">
        <f t="shared" si="47"/>
        <v>2096.5012639570036</v>
      </c>
      <c r="K167" s="15"/>
      <c r="L167" s="15">
        <f t="shared" si="48"/>
        <v>687.89974155601237</v>
      </c>
      <c r="M167" s="15">
        <f t="shared" si="49"/>
        <v>1944.8327948265021</v>
      </c>
      <c r="N167" s="15"/>
      <c r="O167" s="15">
        <f t="shared" si="50"/>
        <v>680.12647898493015</v>
      </c>
      <c r="P167" s="15">
        <f t="shared" si="51"/>
        <v>2690.8621825008941</v>
      </c>
      <c r="Q167" s="3"/>
    </row>
    <row r="168" spans="1:43" x14ac:dyDescent="0.3">
      <c r="A168" s="86">
        <v>3.7499999999999999E-2</v>
      </c>
      <c r="B168" s="86">
        <v>0.125</v>
      </c>
      <c r="C168" s="87">
        <v>774</v>
      </c>
      <c r="D168" s="15"/>
      <c r="E168" s="15">
        <f t="shared" si="43"/>
        <v>730.1266487720842</v>
      </c>
      <c r="F168" s="15">
        <f t="shared" si="44"/>
        <v>1924.8709479680613</v>
      </c>
      <c r="G168" s="15">
        <f t="shared" si="45"/>
        <v>532.58620689655174</v>
      </c>
      <c r="H168" s="15"/>
      <c r="I168" s="15">
        <f t="shared" si="46"/>
        <v>686.2124333038214</v>
      </c>
      <c r="J168" s="15">
        <f t="shared" si="47"/>
        <v>7706.6568664360066</v>
      </c>
      <c r="K168" s="15"/>
      <c r="L168" s="15">
        <f t="shared" si="48"/>
        <v>687.89974155601237</v>
      </c>
      <c r="M168" s="15">
        <f t="shared" si="49"/>
        <v>7413.2545041214626</v>
      </c>
      <c r="N168" s="15"/>
      <c r="O168" s="15">
        <f t="shared" si="50"/>
        <v>680.12647898493015</v>
      </c>
      <c r="P168" s="15">
        <f t="shared" si="51"/>
        <v>8812.2379477667619</v>
      </c>
      <c r="Q168" s="3"/>
    </row>
    <row r="169" spans="1:43" x14ac:dyDescent="0.3">
      <c r="A169" s="86">
        <v>3.7499999999999999E-2</v>
      </c>
      <c r="B169" s="86">
        <v>0.125</v>
      </c>
      <c r="C169" s="87">
        <v>665</v>
      </c>
      <c r="D169" s="15"/>
      <c r="E169" s="15">
        <f t="shared" si="43"/>
        <v>730.1266487720842</v>
      </c>
      <c r="F169" s="15">
        <f t="shared" si="44"/>
        <v>4241.4803802824154</v>
      </c>
      <c r="G169" s="15">
        <f t="shared" si="45"/>
        <v>532.58620689655174</v>
      </c>
      <c r="H169" s="15"/>
      <c r="I169" s="15">
        <f t="shared" si="46"/>
        <v>686.2124333038214</v>
      </c>
      <c r="J169" s="15">
        <f t="shared" si="47"/>
        <v>449.96732666907121</v>
      </c>
      <c r="K169" s="15"/>
      <c r="L169" s="15">
        <f t="shared" si="48"/>
        <v>687.89974155601237</v>
      </c>
      <c r="M169" s="15">
        <f t="shared" si="49"/>
        <v>524.39816333215992</v>
      </c>
      <c r="N169" s="15"/>
      <c r="O169" s="15">
        <f t="shared" si="50"/>
        <v>680.12647898493015</v>
      </c>
      <c r="P169" s="15">
        <f t="shared" si="51"/>
        <v>228.81036648153332</v>
      </c>
      <c r="Q169" s="3"/>
    </row>
    <row r="170" spans="1:43" x14ac:dyDescent="0.3">
      <c r="A170" s="86">
        <v>7.4999999999999997E-2</v>
      </c>
      <c r="B170" s="86">
        <v>0.25</v>
      </c>
      <c r="C170" s="87">
        <v>483</v>
      </c>
      <c r="D170" s="15"/>
      <c r="E170" s="15">
        <f t="shared" si="43"/>
        <v>484.67615432497416</v>
      </c>
      <c r="F170" s="15">
        <f t="shared" si="44"/>
        <v>2.8094933211295938</v>
      </c>
      <c r="G170" s="15">
        <f t="shared" si="45"/>
        <v>532.58620689655174</v>
      </c>
      <c r="H170" s="15"/>
      <c r="I170" s="15">
        <f t="shared" si="46"/>
        <v>423.08681970741441</v>
      </c>
      <c r="J170" s="15">
        <f t="shared" si="47"/>
        <v>3589.5891727718667</v>
      </c>
      <c r="K170" s="15"/>
      <c r="L170" s="15">
        <f t="shared" si="48"/>
        <v>423.21741170962002</v>
      </c>
      <c r="M170" s="15">
        <f t="shared" si="49"/>
        <v>3573.957862697077</v>
      </c>
      <c r="N170" s="15"/>
      <c r="O170" s="15">
        <f t="shared" si="50"/>
        <v>429.05645283821957</v>
      </c>
      <c r="P170" s="15">
        <f t="shared" si="51"/>
        <v>2909.9062803952293</v>
      </c>
      <c r="Q170" s="3"/>
    </row>
    <row r="171" spans="1:43" x14ac:dyDescent="0.3">
      <c r="A171" s="86">
        <v>7.4999999999999997E-2</v>
      </c>
      <c r="B171" s="86">
        <v>0.25</v>
      </c>
      <c r="C171" s="87">
        <v>434</v>
      </c>
      <c r="D171" s="15"/>
      <c r="E171" s="15">
        <f t="shared" si="43"/>
        <v>484.67615432497416</v>
      </c>
      <c r="F171" s="15">
        <f t="shared" si="44"/>
        <v>2568.0726171685974</v>
      </c>
      <c r="G171" s="15">
        <f t="shared" si="45"/>
        <v>532.58620689655174</v>
      </c>
      <c r="H171" s="15"/>
      <c r="I171" s="15">
        <f t="shared" si="46"/>
        <v>423.08681970741441</v>
      </c>
      <c r="J171" s="15">
        <f t="shared" si="47"/>
        <v>119.09750409847858</v>
      </c>
      <c r="K171" s="15"/>
      <c r="L171" s="15">
        <f t="shared" si="48"/>
        <v>423.21741170962002</v>
      </c>
      <c r="M171" s="15">
        <f t="shared" si="49"/>
        <v>116.26421023983939</v>
      </c>
      <c r="N171" s="15"/>
      <c r="O171" s="15">
        <f t="shared" si="50"/>
        <v>429.05645283821957</v>
      </c>
      <c r="P171" s="15">
        <f t="shared" si="51"/>
        <v>24.43865854074734</v>
      </c>
      <c r="Q171" s="3"/>
    </row>
    <row r="172" spans="1:43" x14ac:dyDescent="0.3">
      <c r="A172" s="86">
        <v>7.4999999999999997E-2</v>
      </c>
      <c r="B172" s="86">
        <v>0.25</v>
      </c>
      <c r="C172" s="87">
        <v>337</v>
      </c>
      <c r="D172" s="15"/>
      <c r="E172" s="15">
        <f t="shared" si="43"/>
        <v>484.67615432497416</v>
      </c>
      <c r="F172" s="15">
        <f t="shared" si="44"/>
        <v>21808.246556213584</v>
      </c>
      <c r="G172" s="15">
        <f t="shared" si="45"/>
        <v>532.58620689655174</v>
      </c>
      <c r="H172" s="15"/>
      <c r="I172" s="15">
        <f t="shared" si="46"/>
        <v>423.08681970741441</v>
      </c>
      <c r="J172" s="15">
        <f t="shared" si="47"/>
        <v>7410.9405273368739</v>
      </c>
      <c r="K172" s="15"/>
      <c r="L172" s="15">
        <f t="shared" si="48"/>
        <v>423.21741170962002</v>
      </c>
      <c r="M172" s="15">
        <f t="shared" si="49"/>
        <v>7433.4420819061243</v>
      </c>
      <c r="N172" s="15"/>
      <c r="O172" s="15">
        <f t="shared" si="50"/>
        <v>429.05645283821957</v>
      </c>
      <c r="P172" s="15">
        <f t="shared" si="51"/>
        <v>8474.3905091553443</v>
      </c>
      <c r="Q172" s="3"/>
    </row>
    <row r="173" spans="1:43" x14ac:dyDescent="0.3">
      <c r="A173" s="86">
        <v>7.4999999999999997E-2</v>
      </c>
      <c r="B173" s="86">
        <v>0.25</v>
      </c>
      <c r="C173" s="87">
        <v>360</v>
      </c>
      <c r="D173" s="15"/>
      <c r="E173" s="15">
        <f t="shared" si="43"/>
        <v>484.67615432497416</v>
      </c>
      <c r="F173" s="15">
        <f t="shared" si="44"/>
        <v>15544.143457264774</v>
      </c>
      <c r="G173" s="15">
        <f t="shared" si="45"/>
        <v>532.58620689655174</v>
      </c>
      <c r="H173" s="15"/>
      <c r="I173" s="15">
        <f t="shared" si="46"/>
        <v>423.08681970741441</v>
      </c>
      <c r="J173" s="15">
        <f t="shared" si="47"/>
        <v>3979.9468207958107</v>
      </c>
      <c r="K173" s="15"/>
      <c r="L173" s="15">
        <f t="shared" si="48"/>
        <v>423.21741170962002</v>
      </c>
      <c r="M173" s="15">
        <f t="shared" si="49"/>
        <v>3996.441143263603</v>
      </c>
      <c r="N173" s="15"/>
      <c r="O173" s="15">
        <f t="shared" si="50"/>
        <v>429.05645283821957</v>
      </c>
      <c r="P173" s="15">
        <f t="shared" si="51"/>
        <v>4768.7936785972433</v>
      </c>
      <c r="Q173" s="3"/>
    </row>
    <row r="174" spans="1:43" x14ac:dyDescent="0.3">
      <c r="A174" s="86">
        <v>7.4999999999999997E-2</v>
      </c>
      <c r="B174" s="86">
        <v>0.25</v>
      </c>
      <c r="C174" s="87">
        <v>357</v>
      </c>
      <c r="D174" s="15"/>
      <c r="E174" s="15">
        <f t="shared" si="43"/>
        <v>484.67615432497416</v>
      </c>
      <c r="F174" s="15">
        <f t="shared" si="44"/>
        <v>16301.200383214618</v>
      </c>
      <c r="G174" s="15">
        <f t="shared" si="45"/>
        <v>532.58620689655174</v>
      </c>
      <c r="H174" s="15"/>
      <c r="I174" s="15">
        <f t="shared" si="46"/>
        <v>423.08681970741441</v>
      </c>
      <c r="J174" s="15">
        <f t="shared" si="47"/>
        <v>4367.4677390402976</v>
      </c>
      <c r="K174" s="15"/>
      <c r="L174" s="15">
        <f t="shared" si="48"/>
        <v>423.21741170962002</v>
      </c>
      <c r="M174" s="15">
        <f t="shared" si="49"/>
        <v>4384.7456135213233</v>
      </c>
      <c r="N174" s="15"/>
      <c r="O174" s="15">
        <f t="shared" si="50"/>
        <v>429.05645283821957</v>
      </c>
      <c r="P174" s="15">
        <f t="shared" si="51"/>
        <v>5192.1323956265614</v>
      </c>
      <c r="Q174" s="3"/>
    </row>
    <row r="175" spans="1:43" x14ac:dyDescent="0.3">
      <c r="A175" s="86">
        <v>0.15</v>
      </c>
      <c r="B175" s="86">
        <v>0.5</v>
      </c>
      <c r="C175" s="87">
        <v>4</v>
      </c>
      <c r="D175" s="15"/>
      <c r="E175" s="15">
        <f t="shared" si="43"/>
        <v>16.061694617565902</v>
      </c>
      <c r="F175" s="15">
        <f t="shared" si="44"/>
        <v>145.48447704741824</v>
      </c>
      <c r="G175" s="15">
        <f t="shared" si="45"/>
        <v>532.58620689655174</v>
      </c>
      <c r="H175" s="15"/>
      <c r="I175" s="15">
        <f t="shared" si="46"/>
        <v>5.7635215682799625</v>
      </c>
      <c r="J175" s="15">
        <f t="shared" si="47"/>
        <v>3.1100083217886185</v>
      </c>
      <c r="K175" s="15"/>
      <c r="L175" s="15">
        <f t="shared" si="48"/>
        <v>5.4770731403153725</v>
      </c>
      <c r="M175" s="15">
        <f t="shared" si="49"/>
        <v>2.1817450618411161</v>
      </c>
      <c r="N175" s="15"/>
      <c r="O175" s="15">
        <f t="shared" si="50"/>
        <v>8.4350674053131218</v>
      </c>
      <c r="P175" s="15">
        <f t="shared" si="51"/>
        <v>19.669822889670868</v>
      </c>
      <c r="Q175" s="3"/>
    </row>
    <row r="176" spans="1:43" x14ac:dyDescent="0.3">
      <c r="A176" s="86">
        <v>0.15</v>
      </c>
      <c r="B176" s="86">
        <v>0.5</v>
      </c>
      <c r="C176" s="87">
        <v>85</v>
      </c>
      <c r="D176" s="15"/>
      <c r="E176" s="15">
        <f t="shared" si="43"/>
        <v>16.061694617565902</v>
      </c>
      <c r="F176" s="15">
        <f t="shared" si="44"/>
        <v>4752.4899490017415</v>
      </c>
      <c r="G176" s="15">
        <f t="shared" si="45"/>
        <v>532.58620689655174</v>
      </c>
      <c r="H176" s="15"/>
      <c r="I176" s="15">
        <f t="shared" si="46"/>
        <v>5.7635215682799625</v>
      </c>
      <c r="J176" s="15">
        <f t="shared" si="47"/>
        <v>6278.419514260434</v>
      </c>
      <c r="K176" s="15"/>
      <c r="L176" s="15">
        <f t="shared" si="48"/>
        <v>5.4770731403153725</v>
      </c>
      <c r="M176" s="15">
        <f t="shared" si="49"/>
        <v>6323.8958963307514</v>
      </c>
      <c r="N176" s="15"/>
      <c r="O176" s="15">
        <f t="shared" si="50"/>
        <v>8.4350674053131218</v>
      </c>
      <c r="P176" s="15">
        <f t="shared" si="51"/>
        <v>5862.1889032289455</v>
      </c>
      <c r="Q176" s="3"/>
    </row>
    <row r="177" spans="1:17" x14ac:dyDescent="0.3">
      <c r="A177" s="86">
        <v>0.15</v>
      </c>
      <c r="B177" s="86">
        <v>0.5</v>
      </c>
      <c r="C177" s="87">
        <v>3</v>
      </c>
      <c r="D177" s="15"/>
      <c r="E177" s="15">
        <f t="shared" si="43"/>
        <v>16.061694617565902</v>
      </c>
      <c r="F177" s="15">
        <f t="shared" si="44"/>
        <v>170.60786628255005</v>
      </c>
      <c r="G177" s="15">
        <f t="shared" si="45"/>
        <v>532.58620689655174</v>
      </c>
      <c r="H177" s="15"/>
      <c r="I177" s="15">
        <f t="shared" si="46"/>
        <v>5.7635215682799625</v>
      </c>
      <c r="J177" s="15">
        <f t="shared" si="47"/>
        <v>7.6370514583485436</v>
      </c>
      <c r="K177" s="15"/>
      <c r="L177" s="15">
        <f t="shared" si="48"/>
        <v>5.4770731403153725</v>
      </c>
      <c r="M177" s="15">
        <f t="shared" si="49"/>
        <v>6.1358913424718615</v>
      </c>
      <c r="N177" s="15"/>
      <c r="O177" s="15">
        <f t="shared" si="50"/>
        <v>8.4350674053131218</v>
      </c>
      <c r="P177" s="15">
        <f t="shared" si="51"/>
        <v>29.539957700297112</v>
      </c>
      <c r="Q177" s="3"/>
    </row>
    <row r="178" spans="1:17" x14ac:dyDescent="0.3">
      <c r="A178" s="86">
        <v>0.15</v>
      </c>
      <c r="B178" s="86">
        <v>0.5</v>
      </c>
      <c r="C178" s="87">
        <v>22</v>
      </c>
      <c r="D178" s="15"/>
      <c r="E178" s="15">
        <f t="shared" si="43"/>
        <v>16.061694617565902</v>
      </c>
      <c r="F178" s="15">
        <f t="shared" si="44"/>
        <v>35.263470815045785</v>
      </c>
      <c r="G178" s="15">
        <f t="shared" si="45"/>
        <v>532.58620689655174</v>
      </c>
      <c r="H178" s="15"/>
      <c r="I178" s="15">
        <f t="shared" si="46"/>
        <v>5.7635215682799625</v>
      </c>
      <c r="J178" s="15">
        <f t="shared" si="47"/>
        <v>263.62323186370998</v>
      </c>
      <c r="K178" s="15"/>
      <c r="L178" s="15">
        <f t="shared" si="48"/>
        <v>5.4770731403153725</v>
      </c>
      <c r="M178" s="15">
        <f t="shared" si="49"/>
        <v>273.00711201048773</v>
      </c>
      <c r="N178" s="15"/>
      <c r="O178" s="15">
        <f t="shared" si="50"/>
        <v>8.4350674053131218</v>
      </c>
      <c r="P178" s="15">
        <f t="shared" si="51"/>
        <v>184.00739629839848</v>
      </c>
      <c r="Q178" s="3"/>
    </row>
    <row r="179" spans="1:17" x14ac:dyDescent="0.3">
      <c r="A179" s="86">
        <v>0.15</v>
      </c>
      <c r="B179" s="86">
        <v>0.5</v>
      </c>
      <c r="C179" s="87">
        <v>55</v>
      </c>
      <c r="D179" s="15"/>
      <c r="E179" s="15">
        <f t="shared" si="43"/>
        <v>16.061694617565902</v>
      </c>
      <c r="F179" s="15">
        <f t="shared" si="44"/>
        <v>1516.1916260556959</v>
      </c>
      <c r="G179" s="15">
        <f t="shared" si="45"/>
        <v>532.58620689655174</v>
      </c>
      <c r="H179" s="15"/>
      <c r="I179" s="15">
        <f t="shared" si="46"/>
        <v>5.7635215682799625</v>
      </c>
      <c r="J179" s="15">
        <f t="shared" si="47"/>
        <v>2424.2308083572325</v>
      </c>
      <c r="K179" s="15"/>
      <c r="L179" s="15">
        <f t="shared" si="48"/>
        <v>5.4770731403153725</v>
      </c>
      <c r="M179" s="15">
        <f t="shared" si="49"/>
        <v>2452.5202847496735</v>
      </c>
      <c r="N179" s="15"/>
      <c r="O179" s="15">
        <f t="shared" si="50"/>
        <v>8.4350674053131218</v>
      </c>
      <c r="P179" s="15">
        <f t="shared" si="51"/>
        <v>2168.2929475477326</v>
      </c>
      <c r="Q179" s="3"/>
    </row>
    <row r="180" spans="1:17" x14ac:dyDescent="0.3">
      <c r="A180" s="86">
        <v>0.3</v>
      </c>
      <c r="B180" s="86">
        <v>1</v>
      </c>
      <c r="C180" s="87">
        <v>0</v>
      </c>
      <c r="D180" s="15"/>
      <c r="E180" s="15">
        <f t="shared" si="43"/>
        <v>0.17843366263878022</v>
      </c>
      <c r="F180" s="15">
        <f t="shared" si="44"/>
        <v>3.1838571962690028E-2</v>
      </c>
      <c r="G180" s="15">
        <f t="shared" si="45"/>
        <v>532.58620689655174</v>
      </c>
      <c r="H180" s="15"/>
      <c r="I180" s="15">
        <f t="shared" si="46"/>
        <v>2.9465599339675984E-2</v>
      </c>
      <c r="J180" s="15">
        <f t="shared" si="47"/>
        <v>8.6822154444631374E-4</v>
      </c>
      <c r="K180" s="15"/>
      <c r="L180" s="15">
        <f t="shared" si="48"/>
        <v>2.639333256908459E-2</v>
      </c>
      <c r="M180" s="15">
        <f t="shared" si="49"/>
        <v>6.9660800410230143E-4</v>
      </c>
      <c r="N180" s="15"/>
      <c r="O180" s="15">
        <f t="shared" si="50"/>
        <v>6.3917294188478593E-2</v>
      </c>
      <c r="P180" s="15">
        <f t="shared" si="51"/>
        <v>4.0854204963765191E-3</v>
      </c>
      <c r="Q180" s="3"/>
    </row>
    <row r="181" spans="1:17" x14ac:dyDescent="0.3">
      <c r="A181" s="86">
        <v>0.3</v>
      </c>
      <c r="B181" s="86">
        <v>1</v>
      </c>
      <c r="C181" s="87">
        <v>0</v>
      </c>
      <c r="D181" s="15"/>
      <c r="E181" s="15">
        <f t="shared" si="43"/>
        <v>0.17843366263878022</v>
      </c>
      <c r="F181" s="15">
        <f t="shared" si="44"/>
        <v>3.1838571962690028E-2</v>
      </c>
      <c r="G181" s="15">
        <f t="shared" si="45"/>
        <v>532.58620689655174</v>
      </c>
      <c r="H181" s="15"/>
      <c r="I181" s="15">
        <f t="shared" si="46"/>
        <v>2.9465599339675984E-2</v>
      </c>
      <c r="J181" s="15">
        <f t="shared" si="47"/>
        <v>8.6822154444631374E-4</v>
      </c>
      <c r="K181" s="15"/>
      <c r="L181" s="15">
        <f t="shared" si="48"/>
        <v>2.639333256908459E-2</v>
      </c>
      <c r="M181" s="15">
        <f t="shared" si="49"/>
        <v>6.9660800410230143E-4</v>
      </c>
      <c r="N181" s="15"/>
      <c r="O181" s="15">
        <f t="shared" si="50"/>
        <v>6.3917294188478593E-2</v>
      </c>
      <c r="P181" s="15">
        <f t="shared" si="51"/>
        <v>4.0854204963765191E-3</v>
      </c>
      <c r="Q181" s="3"/>
    </row>
    <row r="182" spans="1:17" x14ac:dyDescent="0.3">
      <c r="A182" s="86">
        <v>0.3</v>
      </c>
      <c r="B182" s="86">
        <v>1</v>
      </c>
      <c r="C182" s="87">
        <v>65</v>
      </c>
      <c r="D182" s="15"/>
      <c r="E182" s="15">
        <f t="shared" si="43"/>
        <v>0.17843366263878022</v>
      </c>
      <c r="F182" s="15">
        <f t="shared" si="44"/>
        <v>4201.8354624289213</v>
      </c>
      <c r="G182" s="15">
        <f t="shared" si="45"/>
        <v>532.58620689655174</v>
      </c>
      <c r="H182" s="15"/>
      <c r="I182" s="15">
        <f t="shared" si="46"/>
        <v>2.9465599339675984E-2</v>
      </c>
      <c r="J182" s="15">
        <f t="shared" si="47"/>
        <v>4221.1703403073871</v>
      </c>
      <c r="K182" s="15"/>
      <c r="L182" s="15">
        <f t="shared" si="48"/>
        <v>2.639333256908459E-2</v>
      </c>
      <c r="M182" s="15">
        <f t="shared" si="49"/>
        <v>4221.5695633740233</v>
      </c>
      <c r="N182" s="15"/>
      <c r="O182" s="15">
        <f t="shared" si="50"/>
        <v>6.3917294188478593E-2</v>
      </c>
      <c r="P182" s="15">
        <f t="shared" si="51"/>
        <v>4216.6948371759936</v>
      </c>
      <c r="Q182" s="3"/>
    </row>
    <row r="183" spans="1:17" x14ac:dyDescent="0.3">
      <c r="A183" s="86">
        <v>0.3</v>
      </c>
      <c r="B183" s="86">
        <v>1</v>
      </c>
      <c r="C183" s="87">
        <v>0</v>
      </c>
      <c r="D183" s="15"/>
      <c r="E183" s="15">
        <f t="shared" si="43"/>
        <v>0.17843366263878022</v>
      </c>
      <c r="F183" s="15">
        <f t="shared" si="44"/>
        <v>3.1838571962690028E-2</v>
      </c>
      <c r="G183" s="15">
        <f t="shared" si="45"/>
        <v>532.58620689655174</v>
      </c>
      <c r="H183" s="15"/>
      <c r="I183" s="15">
        <f t="shared" si="46"/>
        <v>2.9465599339675984E-2</v>
      </c>
      <c r="J183" s="15">
        <f t="shared" si="47"/>
        <v>8.6822154444631374E-4</v>
      </c>
      <c r="K183" s="15"/>
      <c r="L183" s="15">
        <f t="shared" si="48"/>
        <v>2.639333256908459E-2</v>
      </c>
      <c r="M183" s="15">
        <f t="shared" si="49"/>
        <v>6.9660800410230143E-4</v>
      </c>
      <c r="N183" s="15"/>
      <c r="O183" s="15">
        <f t="shared" si="50"/>
        <v>6.3917294188478593E-2</v>
      </c>
      <c r="P183" s="15">
        <f t="shared" si="51"/>
        <v>4.0854204963765191E-3</v>
      </c>
      <c r="Q183" s="3"/>
    </row>
    <row r="184" spans="1:17" x14ac:dyDescent="0.3">
      <c r="A184" s="86">
        <v>0.3</v>
      </c>
      <c r="B184" s="86">
        <v>1</v>
      </c>
      <c r="C184" s="87">
        <v>0</v>
      </c>
      <c r="D184" s="15"/>
      <c r="E184" s="15">
        <f t="shared" si="43"/>
        <v>0.17843366263878022</v>
      </c>
      <c r="F184" s="15">
        <f t="shared" si="44"/>
        <v>3.1838571962690028E-2</v>
      </c>
      <c r="G184" s="15">
        <f t="shared" si="45"/>
        <v>532.58620689655174</v>
      </c>
      <c r="H184" s="15"/>
      <c r="I184" s="15">
        <f t="shared" si="46"/>
        <v>2.9465599339675984E-2</v>
      </c>
      <c r="J184" s="15">
        <f t="shared" si="47"/>
        <v>8.6822154444631374E-4</v>
      </c>
      <c r="K184" s="15"/>
      <c r="L184" s="15">
        <f t="shared" si="48"/>
        <v>2.639333256908459E-2</v>
      </c>
      <c r="M184" s="15">
        <f t="shared" si="49"/>
        <v>6.9660800410230143E-4</v>
      </c>
      <c r="N184" s="15"/>
      <c r="O184" s="15">
        <f t="shared" si="50"/>
        <v>6.3917294188478593E-2</v>
      </c>
      <c r="P184" s="15">
        <f t="shared" si="51"/>
        <v>4.0854204963765191E-3</v>
      </c>
      <c r="Q184" s="3"/>
    </row>
    <row r="185" spans="1:17" x14ac:dyDescent="0.3">
      <c r="A185" s="86">
        <v>1.2500000000000001E-2</v>
      </c>
      <c r="B185" s="86">
        <v>0.125</v>
      </c>
      <c r="C185" s="87">
        <v>749</v>
      </c>
      <c r="D185" s="15"/>
      <c r="E185" s="15">
        <f t="shared" si="43"/>
        <v>734.06609517044262</v>
      </c>
      <c r="F185" s="15">
        <f t="shared" si="44"/>
        <v>223.02151345827716</v>
      </c>
      <c r="G185" s="15">
        <f t="shared" si="45"/>
        <v>532.58620689655174</v>
      </c>
      <c r="H185" s="15"/>
      <c r="I185" s="15">
        <f t="shared" si="46"/>
        <v>727.45625864561123</v>
      </c>
      <c r="J185" s="15">
        <f t="shared" si="47"/>
        <v>464.13279154480091</v>
      </c>
      <c r="K185" s="15"/>
      <c r="L185" s="15">
        <f t="shared" si="48"/>
        <v>721.93890180128938</v>
      </c>
      <c r="M185" s="15">
        <f t="shared" si="49"/>
        <v>732.30303572025934</v>
      </c>
      <c r="N185" s="15"/>
      <c r="O185" s="15">
        <f t="shared" si="50"/>
        <v>732.19512147065609</v>
      </c>
      <c r="P185" s="15">
        <f t="shared" si="51"/>
        <v>282.40394238600391</v>
      </c>
      <c r="Q185" s="3"/>
    </row>
    <row r="186" spans="1:17" x14ac:dyDescent="0.3">
      <c r="A186" s="86">
        <v>1.2500000000000001E-2</v>
      </c>
      <c r="B186" s="86">
        <v>0.125</v>
      </c>
      <c r="C186" s="87">
        <v>703</v>
      </c>
      <c r="D186" s="15"/>
      <c r="E186" s="15">
        <f t="shared" si="43"/>
        <v>734.06609517044262</v>
      </c>
      <c r="F186" s="15">
        <f t="shared" si="44"/>
        <v>965.10226913899839</v>
      </c>
      <c r="G186" s="15">
        <f t="shared" si="45"/>
        <v>532.58620689655174</v>
      </c>
      <c r="H186" s="15"/>
      <c r="I186" s="15">
        <f t="shared" si="46"/>
        <v>727.45625864561123</v>
      </c>
      <c r="J186" s="15">
        <f t="shared" si="47"/>
        <v>598.10858694103399</v>
      </c>
      <c r="K186" s="15"/>
      <c r="L186" s="15">
        <f t="shared" si="48"/>
        <v>721.93890180128938</v>
      </c>
      <c r="M186" s="15">
        <f t="shared" si="49"/>
        <v>358.68200143888197</v>
      </c>
      <c r="N186" s="15"/>
      <c r="O186" s="15">
        <f t="shared" si="50"/>
        <v>732.19512147065609</v>
      </c>
      <c r="P186" s="15">
        <f t="shared" si="51"/>
        <v>852.35511768636422</v>
      </c>
      <c r="Q186" s="3"/>
    </row>
    <row r="187" spans="1:17" x14ac:dyDescent="0.3">
      <c r="A187" s="86">
        <v>1.2500000000000001E-2</v>
      </c>
      <c r="B187" s="86">
        <v>0.125</v>
      </c>
      <c r="C187" s="87">
        <v>699</v>
      </c>
      <c r="D187" s="15"/>
      <c r="E187" s="15">
        <f t="shared" si="43"/>
        <v>734.06609517044262</v>
      </c>
      <c r="F187" s="15">
        <f t="shared" si="44"/>
        <v>1229.6310305025395</v>
      </c>
      <c r="G187" s="15">
        <f t="shared" si="45"/>
        <v>532.58620689655174</v>
      </c>
      <c r="H187" s="15"/>
      <c r="I187" s="15">
        <f t="shared" si="46"/>
        <v>727.45625864561123</v>
      </c>
      <c r="J187" s="15">
        <f t="shared" si="47"/>
        <v>809.75865610592382</v>
      </c>
      <c r="K187" s="15"/>
      <c r="L187" s="15">
        <f t="shared" si="48"/>
        <v>721.93890180128938</v>
      </c>
      <c r="M187" s="15">
        <f t="shared" si="49"/>
        <v>526.19321584919692</v>
      </c>
      <c r="N187" s="15"/>
      <c r="O187" s="15">
        <f t="shared" si="50"/>
        <v>732.19512147065609</v>
      </c>
      <c r="P187" s="15">
        <f t="shared" si="51"/>
        <v>1101.9160894516131</v>
      </c>
      <c r="Q187" s="3"/>
    </row>
    <row r="188" spans="1:17" x14ac:dyDescent="0.3">
      <c r="A188" s="86">
        <v>1.2500000000000001E-2</v>
      </c>
      <c r="B188" s="86">
        <v>0.125</v>
      </c>
      <c r="C188" s="87">
        <v>830</v>
      </c>
      <c r="D188" s="15"/>
      <c r="E188" s="15">
        <f t="shared" si="43"/>
        <v>734.06609517044262</v>
      </c>
      <c r="F188" s="15">
        <f t="shared" si="44"/>
        <v>9203.3140958465719</v>
      </c>
      <c r="G188" s="15">
        <f t="shared" si="45"/>
        <v>532.58620689655174</v>
      </c>
      <c r="H188" s="15"/>
      <c r="I188" s="15">
        <f t="shared" si="46"/>
        <v>727.45625864561123</v>
      </c>
      <c r="J188" s="15">
        <f t="shared" si="47"/>
        <v>10515.218890955783</v>
      </c>
      <c r="K188" s="15"/>
      <c r="L188" s="15">
        <f t="shared" si="48"/>
        <v>721.93890180128938</v>
      </c>
      <c r="M188" s="15">
        <f t="shared" si="49"/>
        <v>11677.200943911381</v>
      </c>
      <c r="N188" s="15"/>
      <c r="O188" s="15">
        <f t="shared" si="50"/>
        <v>732.19512147065609</v>
      </c>
      <c r="P188" s="15">
        <f t="shared" si="51"/>
        <v>9565.7942641397167</v>
      </c>
      <c r="Q188" s="2"/>
    </row>
    <row r="189" spans="1:17" x14ac:dyDescent="0.3">
      <c r="A189" s="86">
        <v>1.2500000000000001E-2</v>
      </c>
      <c r="B189" s="86">
        <v>0.125</v>
      </c>
      <c r="C189" s="87">
        <v>662</v>
      </c>
      <c r="D189" s="15"/>
      <c r="E189" s="15">
        <f t="shared" si="43"/>
        <v>734.06609517044262</v>
      </c>
      <c r="F189" s="15">
        <f t="shared" si="44"/>
        <v>5193.5220731152931</v>
      </c>
      <c r="G189" s="15">
        <f t="shared" si="45"/>
        <v>532.58620689655174</v>
      </c>
      <c r="H189" s="15"/>
      <c r="I189" s="15">
        <f t="shared" si="46"/>
        <v>727.45625864561123</v>
      </c>
      <c r="J189" s="15">
        <f t="shared" si="47"/>
        <v>4284.5217958811545</v>
      </c>
      <c r="K189" s="15"/>
      <c r="L189" s="15">
        <f t="shared" si="48"/>
        <v>721.93890180128938</v>
      </c>
      <c r="M189" s="15">
        <f t="shared" si="49"/>
        <v>3592.6719491446106</v>
      </c>
      <c r="N189" s="15"/>
      <c r="O189" s="15">
        <f t="shared" si="50"/>
        <v>732.19512147065609</v>
      </c>
      <c r="P189" s="15">
        <f t="shared" si="51"/>
        <v>4927.355078280164</v>
      </c>
      <c r="Q189" s="1"/>
    </row>
    <row r="190" spans="1:17" x14ac:dyDescent="0.3">
      <c r="A190" s="86">
        <v>2.5000000000000001E-2</v>
      </c>
      <c r="B190" s="86">
        <v>0.25</v>
      </c>
      <c r="C190" s="87">
        <v>710</v>
      </c>
      <c r="D190" s="15"/>
      <c r="E190" s="15">
        <f t="shared" si="43"/>
        <v>715.60757351116069</v>
      </c>
      <c r="F190" s="15">
        <f t="shared" si="44"/>
        <v>31.44488068307108</v>
      </c>
      <c r="G190" s="15">
        <f t="shared" si="45"/>
        <v>532.58620689655174</v>
      </c>
      <c r="H190" s="15"/>
      <c r="I190" s="15">
        <f t="shared" si="46"/>
        <v>711.9376065362535</v>
      </c>
      <c r="J190" s="15">
        <f t="shared" si="47"/>
        <v>3.7543190893322755</v>
      </c>
      <c r="K190" s="15"/>
      <c r="L190" s="15">
        <f t="shared" si="48"/>
        <v>703.54795513207068</v>
      </c>
      <c r="M190" s="15">
        <f t="shared" si="49"/>
        <v>41.628882977773031</v>
      </c>
      <c r="N190" s="15"/>
      <c r="O190" s="15">
        <f t="shared" si="50"/>
        <v>718.72965444109059</v>
      </c>
      <c r="P190" s="15">
        <f t="shared" si="51"/>
        <v>76.206866660852626</v>
      </c>
      <c r="Q190" s="4"/>
    </row>
    <row r="191" spans="1:17" x14ac:dyDescent="0.3">
      <c r="A191" s="86">
        <v>2.5000000000000001E-2</v>
      </c>
      <c r="B191" s="86">
        <v>0.25</v>
      </c>
      <c r="C191" s="87">
        <v>668</v>
      </c>
      <c r="D191" s="15"/>
      <c r="E191" s="15">
        <f t="shared" si="43"/>
        <v>715.60757351116069</v>
      </c>
      <c r="F191" s="15">
        <f t="shared" si="44"/>
        <v>2266.4810556205694</v>
      </c>
      <c r="G191" s="15">
        <f t="shared" si="45"/>
        <v>532.58620689655174</v>
      </c>
      <c r="H191" s="15"/>
      <c r="I191" s="15">
        <f t="shared" si="46"/>
        <v>711.9376065362535</v>
      </c>
      <c r="J191" s="15">
        <f t="shared" si="47"/>
        <v>1930.5132681346261</v>
      </c>
      <c r="K191" s="15"/>
      <c r="L191" s="15">
        <f t="shared" si="48"/>
        <v>703.54795513207068</v>
      </c>
      <c r="M191" s="15">
        <f t="shared" si="49"/>
        <v>1263.6571140717103</v>
      </c>
      <c r="N191" s="15"/>
      <c r="O191" s="15">
        <f t="shared" si="50"/>
        <v>718.72965444109059</v>
      </c>
      <c r="P191" s="15">
        <f t="shared" si="51"/>
        <v>2573.4978397124619</v>
      </c>
      <c r="Q191" s="4"/>
    </row>
    <row r="192" spans="1:17" x14ac:dyDescent="0.3">
      <c r="A192" s="86">
        <v>2.5000000000000001E-2</v>
      </c>
      <c r="B192" s="86">
        <v>0.25</v>
      </c>
      <c r="C192" s="87">
        <v>593</v>
      </c>
      <c r="D192" s="15"/>
      <c r="E192" s="15">
        <f t="shared" si="43"/>
        <v>715.60757351116069</v>
      </c>
      <c r="F192" s="15">
        <f t="shared" si="44"/>
        <v>15032.617082294673</v>
      </c>
      <c r="G192" s="15">
        <f t="shared" si="45"/>
        <v>532.58620689655174</v>
      </c>
      <c r="H192" s="15"/>
      <c r="I192" s="15">
        <f t="shared" si="46"/>
        <v>711.9376065362535</v>
      </c>
      <c r="J192" s="15">
        <f t="shared" si="47"/>
        <v>14146.154248572651</v>
      </c>
      <c r="K192" s="15"/>
      <c r="L192" s="15">
        <f t="shared" si="48"/>
        <v>703.54795513207068</v>
      </c>
      <c r="M192" s="15">
        <f t="shared" si="49"/>
        <v>12220.850383882313</v>
      </c>
      <c r="N192" s="15"/>
      <c r="O192" s="15">
        <f t="shared" si="50"/>
        <v>718.72965444109059</v>
      </c>
      <c r="P192" s="15">
        <f t="shared" si="51"/>
        <v>15807.946005876051</v>
      </c>
      <c r="Q192" s="4"/>
    </row>
    <row r="193" spans="1:17" x14ac:dyDescent="0.3">
      <c r="A193" s="86">
        <v>2.5000000000000001E-2</v>
      </c>
      <c r="B193" s="86">
        <v>0.25</v>
      </c>
      <c r="C193" s="87">
        <v>732</v>
      </c>
      <c r="D193" s="15"/>
      <c r="E193" s="15">
        <f t="shared" si="43"/>
        <v>715.60757351116069</v>
      </c>
      <c r="F193" s="15">
        <f t="shared" si="44"/>
        <v>268.7116461920005</v>
      </c>
      <c r="G193" s="15">
        <f t="shared" si="45"/>
        <v>532.58620689655174</v>
      </c>
      <c r="H193" s="15"/>
      <c r="I193" s="15">
        <f t="shared" si="46"/>
        <v>711.9376065362535</v>
      </c>
      <c r="J193" s="15">
        <f t="shared" si="47"/>
        <v>402.4996314941784</v>
      </c>
      <c r="K193" s="15"/>
      <c r="L193" s="15">
        <f t="shared" si="48"/>
        <v>703.54795513207068</v>
      </c>
      <c r="M193" s="15">
        <f t="shared" si="49"/>
        <v>809.518857166663</v>
      </c>
      <c r="N193" s="15"/>
      <c r="O193" s="15">
        <f t="shared" si="50"/>
        <v>718.72965444109059</v>
      </c>
      <c r="P193" s="15">
        <f t="shared" si="51"/>
        <v>176.10207125286675</v>
      </c>
      <c r="Q193" s="4"/>
    </row>
    <row r="194" spans="1:17" x14ac:dyDescent="0.3">
      <c r="A194" s="86">
        <v>2.5000000000000001E-2</v>
      </c>
      <c r="B194" s="86">
        <v>0.25</v>
      </c>
      <c r="C194" s="87">
        <v>830</v>
      </c>
      <c r="D194" s="15"/>
      <c r="E194" s="15">
        <f t="shared" si="43"/>
        <v>715.60757351116069</v>
      </c>
      <c r="F194" s="15">
        <f t="shared" si="44"/>
        <v>13085.627238004505</v>
      </c>
      <c r="G194" s="15">
        <f t="shared" si="45"/>
        <v>532.58620689655174</v>
      </c>
      <c r="H194" s="15"/>
      <c r="I194" s="15">
        <f t="shared" si="46"/>
        <v>711.9376065362535</v>
      </c>
      <c r="J194" s="15">
        <f t="shared" si="47"/>
        <v>13938.728750388493</v>
      </c>
      <c r="K194" s="15"/>
      <c r="L194" s="15">
        <f t="shared" si="48"/>
        <v>703.54795513207068</v>
      </c>
      <c r="M194" s="15">
        <f t="shared" si="49"/>
        <v>15990.119651280809</v>
      </c>
      <c r="N194" s="15"/>
      <c r="O194" s="15">
        <f t="shared" si="50"/>
        <v>718.72965444109059</v>
      </c>
      <c r="P194" s="15">
        <f t="shared" si="51"/>
        <v>12381.089800799111</v>
      </c>
      <c r="Q194" s="4"/>
    </row>
    <row r="195" spans="1:17" x14ac:dyDescent="0.3">
      <c r="A195" s="86">
        <v>0.05</v>
      </c>
      <c r="B195" s="86">
        <v>0.5</v>
      </c>
      <c r="C195" s="87">
        <v>690</v>
      </c>
      <c r="D195" s="15"/>
      <c r="E195" s="15">
        <f t="shared" si="43"/>
        <v>669.71651684607116</v>
      </c>
      <c r="F195" s="15">
        <f t="shared" si="44"/>
        <v>411.41968885571509</v>
      </c>
      <c r="G195" s="15">
        <f t="shared" si="45"/>
        <v>532.58620689655174</v>
      </c>
      <c r="H195" s="15"/>
      <c r="I195" s="15">
        <f t="shared" si="46"/>
        <v>681.73100996963012</v>
      </c>
      <c r="J195" s="15">
        <f t="shared" si="47"/>
        <v>68.376196122356433</v>
      </c>
      <c r="K195" s="15"/>
      <c r="L195" s="15">
        <f t="shared" si="48"/>
        <v>669.30052346239825</v>
      </c>
      <c r="M195" s="15">
        <f t="shared" si="49"/>
        <v>428.46832893072548</v>
      </c>
      <c r="N195" s="15"/>
      <c r="O195" s="15">
        <f t="shared" si="50"/>
        <v>688.66733125536689</v>
      </c>
      <c r="P195" s="15">
        <f t="shared" si="51"/>
        <v>1.7760059829219912</v>
      </c>
      <c r="Q195" s="4"/>
    </row>
    <row r="196" spans="1:17" x14ac:dyDescent="0.3">
      <c r="A196" s="86">
        <v>0.05</v>
      </c>
      <c r="B196" s="86">
        <v>0.5</v>
      </c>
      <c r="C196" s="87">
        <v>610</v>
      </c>
      <c r="D196" s="15"/>
      <c r="E196" s="15">
        <f t="shared" si="43"/>
        <v>669.71651684607116</v>
      </c>
      <c r="F196" s="15">
        <f t="shared" si="44"/>
        <v>3566.0623842271007</v>
      </c>
      <c r="G196" s="15">
        <f t="shared" si="45"/>
        <v>532.58620689655174</v>
      </c>
      <c r="H196" s="15"/>
      <c r="I196" s="15">
        <f t="shared" si="46"/>
        <v>681.73100996963012</v>
      </c>
      <c r="J196" s="15">
        <f t="shared" si="47"/>
        <v>5145.3377912631759</v>
      </c>
      <c r="K196" s="15"/>
      <c r="L196" s="15">
        <f t="shared" si="48"/>
        <v>669.30052346239825</v>
      </c>
      <c r="M196" s="15">
        <f t="shared" si="49"/>
        <v>3516.5520829144448</v>
      </c>
      <c r="N196" s="15"/>
      <c r="O196" s="15">
        <f t="shared" si="50"/>
        <v>688.66733125536689</v>
      </c>
      <c r="P196" s="15">
        <f t="shared" si="51"/>
        <v>6188.5490068416239</v>
      </c>
      <c r="Q196" s="4"/>
    </row>
    <row r="197" spans="1:17" x14ac:dyDescent="0.3">
      <c r="A197" s="86">
        <v>0.05</v>
      </c>
      <c r="B197" s="86">
        <v>0.5</v>
      </c>
      <c r="C197" s="87">
        <v>699</v>
      </c>
      <c r="D197" s="15"/>
      <c r="E197" s="15">
        <f t="shared" si="43"/>
        <v>669.71651684607116</v>
      </c>
      <c r="F197" s="15">
        <f t="shared" si="44"/>
        <v>857.52238562643424</v>
      </c>
      <c r="G197" s="15">
        <f t="shared" si="45"/>
        <v>532.58620689655174</v>
      </c>
      <c r="H197" s="15"/>
      <c r="I197" s="15">
        <f t="shared" si="46"/>
        <v>681.73100996963012</v>
      </c>
      <c r="J197" s="15">
        <f t="shared" si="47"/>
        <v>298.21801666901422</v>
      </c>
      <c r="K197" s="15"/>
      <c r="L197" s="15">
        <f t="shared" si="48"/>
        <v>669.30052346239825</v>
      </c>
      <c r="M197" s="15">
        <f t="shared" si="49"/>
        <v>882.05890660755711</v>
      </c>
      <c r="N197" s="15"/>
      <c r="O197" s="15">
        <f t="shared" si="50"/>
        <v>688.66733125536689</v>
      </c>
      <c r="P197" s="15">
        <f t="shared" si="51"/>
        <v>106.76404338631798</v>
      </c>
      <c r="Q197" s="4"/>
    </row>
    <row r="198" spans="1:17" x14ac:dyDescent="0.3">
      <c r="A198" s="86">
        <v>0.05</v>
      </c>
      <c r="B198" s="86">
        <v>0.5</v>
      </c>
      <c r="C198" s="87">
        <v>670</v>
      </c>
      <c r="D198" s="15"/>
      <c r="E198" s="15">
        <f t="shared" si="43"/>
        <v>669.71651684607116</v>
      </c>
      <c r="F198" s="15">
        <f t="shared" si="44"/>
        <v>8.0362698561443305E-2</v>
      </c>
      <c r="G198" s="15">
        <f t="shared" si="45"/>
        <v>532.58620689655174</v>
      </c>
      <c r="H198" s="15"/>
      <c r="I198" s="15">
        <f t="shared" si="46"/>
        <v>681.73100996963012</v>
      </c>
      <c r="J198" s="15">
        <f t="shared" si="47"/>
        <v>137.61659490756131</v>
      </c>
      <c r="K198" s="15"/>
      <c r="L198" s="15">
        <f t="shared" si="48"/>
        <v>669.30052346239825</v>
      </c>
      <c r="M198" s="15">
        <f t="shared" si="49"/>
        <v>0.48926742665533796</v>
      </c>
      <c r="N198" s="15"/>
      <c r="O198" s="15">
        <f t="shared" si="50"/>
        <v>688.66733125536689</v>
      </c>
      <c r="P198" s="15">
        <f t="shared" si="51"/>
        <v>348.46925619759759</v>
      </c>
      <c r="Q198" s="4"/>
    </row>
    <row r="199" spans="1:17" x14ac:dyDescent="0.3">
      <c r="A199" s="86">
        <v>0.05</v>
      </c>
      <c r="B199" s="86">
        <v>0.5</v>
      </c>
      <c r="C199" s="87">
        <v>561</v>
      </c>
      <c r="D199" s="15"/>
      <c r="E199" s="15">
        <f t="shared" si="43"/>
        <v>669.71651684607116</v>
      </c>
      <c r="F199" s="15">
        <f t="shared" si="44"/>
        <v>11819.281035142074</v>
      </c>
      <c r="G199" s="15">
        <f t="shared" si="45"/>
        <v>532.58620689655174</v>
      </c>
      <c r="H199" s="15"/>
      <c r="I199" s="15">
        <f t="shared" si="46"/>
        <v>681.73100996963012</v>
      </c>
      <c r="J199" s="15">
        <f t="shared" si="47"/>
        <v>14575.976768286928</v>
      </c>
      <c r="K199" s="15"/>
      <c r="L199" s="15">
        <f t="shared" si="48"/>
        <v>669.30052346239825</v>
      </c>
      <c r="M199" s="15">
        <f t="shared" si="49"/>
        <v>11729.003382229474</v>
      </c>
      <c r="N199" s="15"/>
      <c r="O199" s="15">
        <f t="shared" si="50"/>
        <v>688.66733125536689</v>
      </c>
      <c r="P199" s="15">
        <f t="shared" si="51"/>
        <v>16298.947469867579</v>
      </c>
      <c r="Q199" s="4"/>
    </row>
    <row r="200" spans="1:17" x14ac:dyDescent="0.3">
      <c r="A200" s="86">
        <v>0.1</v>
      </c>
      <c r="B200" s="86">
        <v>1</v>
      </c>
      <c r="C200" s="87">
        <v>183</v>
      </c>
      <c r="D200" s="15"/>
      <c r="E200" s="15">
        <f t="shared" ref="E200:E209" si="52">IA(A200,B200,$E$2,$E$3,$E$4,$E$5,$E$6)</f>
        <v>163.50236888003144</v>
      </c>
      <c r="F200" s="15">
        <f t="shared" ref="F200:F209" si="53">($C200-E200)^2</f>
        <v>380.15761929036643</v>
      </c>
      <c r="G200" s="15">
        <f t="shared" ref="G200:G209" si="54">$G$25</f>
        <v>532.58620689655174</v>
      </c>
      <c r="H200" s="15"/>
      <c r="I200" s="15">
        <f t="shared" ref="I200:I209" si="55">IA_SA(A200,B200,$I$2,$I$3,$I$4,$I$5,$I$6,$I$7)</f>
        <v>142.86837329392972</v>
      </c>
      <c r="J200" s="15">
        <f t="shared" ref="J200:J209" si="56">($C200-I200)^2</f>
        <v>1610.5474620753732</v>
      </c>
      <c r="K200" s="15"/>
      <c r="L200" s="15">
        <f t="shared" ref="L200:L209" si="57">IA_DR(A200,B200,$L$2,$L$3,$L$4,$L$5,$L$6,$L$7,$L$8)</f>
        <v>131.02351975170524</v>
      </c>
      <c r="M200" s="15">
        <f t="shared" ref="M200:M209" si="58">($C200-L200)^2</f>
        <v>2701.5544990013755</v>
      </c>
      <c r="N200" s="15"/>
      <c r="O200" s="15">
        <f t="shared" ref="O200:O209" si="59">IA_DL(A200,B200,$O$2,$O$3,$O$4,$O$5,$O$6,$O$7,$O$8)</f>
        <v>152.54075515223133</v>
      </c>
      <c r="P200" s="15">
        <f t="shared" ref="P200:P209" si="60">($C200-O200)^2</f>
        <v>927.7655966963224</v>
      </c>
      <c r="Q200" s="4"/>
    </row>
    <row r="201" spans="1:17" x14ac:dyDescent="0.3">
      <c r="A201" s="86">
        <v>0.1</v>
      </c>
      <c r="B201" s="86">
        <v>1</v>
      </c>
      <c r="C201" s="87">
        <v>100</v>
      </c>
      <c r="D201" s="15"/>
      <c r="E201" s="15">
        <f t="shared" si="52"/>
        <v>163.50236888003144</v>
      </c>
      <c r="F201" s="15">
        <f t="shared" si="53"/>
        <v>4032.5508533755856</v>
      </c>
      <c r="G201" s="15">
        <f t="shared" si="54"/>
        <v>532.58620689655174</v>
      </c>
      <c r="H201" s="15"/>
      <c r="I201" s="15">
        <f t="shared" si="55"/>
        <v>142.86837329392972</v>
      </c>
      <c r="J201" s="15">
        <f t="shared" si="56"/>
        <v>1837.697428867707</v>
      </c>
      <c r="K201" s="15"/>
      <c r="L201" s="15">
        <f t="shared" si="57"/>
        <v>131.02351975170524</v>
      </c>
      <c r="M201" s="15">
        <f t="shared" si="58"/>
        <v>962.45877778444492</v>
      </c>
      <c r="N201" s="15"/>
      <c r="O201" s="15">
        <f t="shared" si="59"/>
        <v>152.54075515223133</v>
      </c>
      <c r="P201" s="15">
        <f t="shared" si="60"/>
        <v>2760.5309519667226</v>
      </c>
      <c r="Q201" s="4"/>
    </row>
    <row r="202" spans="1:17" x14ac:dyDescent="0.3">
      <c r="A202" s="86">
        <v>0.1</v>
      </c>
      <c r="B202" s="86">
        <v>1</v>
      </c>
      <c r="C202" s="87">
        <v>198</v>
      </c>
      <c r="D202" s="15"/>
      <c r="E202" s="15">
        <f t="shared" si="52"/>
        <v>163.50236888003144</v>
      </c>
      <c r="F202" s="15">
        <f t="shared" si="53"/>
        <v>1190.0865528894233</v>
      </c>
      <c r="G202" s="15">
        <f t="shared" si="54"/>
        <v>532.58620689655174</v>
      </c>
      <c r="H202" s="15"/>
      <c r="I202" s="15">
        <f t="shared" si="55"/>
        <v>142.86837329392972</v>
      </c>
      <c r="J202" s="15">
        <f t="shared" si="56"/>
        <v>3039.4962632574816</v>
      </c>
      <c r="K202" s="15"/>
      <c r="L202" s="15">
        <f t="shared" si="57"/>
        <v>131.02351975170524</v>
      </c>
      <c r="M202" s="15">
        <f t="shared" si="58"/>
        <v>4485.8489064502182</v>
      </c>
      <c r="N202" s="15"/>
      <c r="O202" s="15">
        <f t="shared" si="59"/>
        <v>152.54075515223133</v>
      </c>
      <c r="P202" s="15">
        <f t="shared" si="60"/>
        <v>2066.5429421293825</v>
      </c>
      <c r="Q202" s="4"/>
    </row>
    <row r="203" spans="1:17" x14ac:dyDescent="0.3">
      <c r="A203" s="86">
        <v>0.1</v>
      </c>
      <c r="B203" s="86">
        <v>1</v>
      </c>
      <c r="C203" s="87">
        <v>208</v>
      </c>
      <c r="D203" s="15"/>
      <c r="E203" s="15">
        <f t="shared" si="52"/>
        <v>163.50236888003144</v>
      </c>
      <c r="F203" s="15">
        <f t="shared" si="53"/>
        <v>1980.0391752887945</v>
      </c>
      <c r="G203" s="15">
        <f t="shared" si="54"/>
        <v>532.58620689655174</v>
      </c>
      <c r="H203" s="15"/>
      <c r="I203" s="15">
        <f t="shared" si="55"/>
        <v>142.86837329392972</v>
      </c>
      <c r="J203" s="15">
        <f t="shared" si="56"/>
        <v>4242.1287973788867</v>
      </c>
      <c r="K203" s="15"/>
      <c r="L203" s="15">
        <f t="shared" si="57"/>
        <v>131.02351975170524</v>
      </c>
      <c r="M203" s="15">
        <f t="shared" si="58"/>
        <v>5925.3785114161137</v>
      </c>
      <c r="N203" s="15"/>
      <c r="O203" s="15">
        <f t="shared" si="59"/>
        <v>152.54075515223133</v>
      </c>
      <c r="P203" s="15">
        <f t="shared" si="60"/>
        <v>3075.7278390847559</v>
      </c>
      <c r="Q203" s="4"/>
    </row>
    <row r="204" spans="1:17" x14ac:dyDescent="0.3">
      <c r="A204" s="86">
        <v>0.1</v>
      </c>
      <c r="B204" s="86">
        <v>1</v>
      </c>
      <c r="C204" s="87">
        <v>65</v>
      </c>
      <c r="D204" s="15"/>
      <c r="E204" s="15">
        <f t="shared" si="52"/>
        <v>163.50236888003144</v>
      </c>
      <c r="F204" s="15">
        <f t="shared" si="53"/>
        <v>9702.7166749777862</v>
      </c>
      <c r="G204" s="15">
        <f t="shared" si="54"/>
        <v>532.58620689655174</v>
      </c>
      <c r="H204" s="15"/>
      <c r="I204" s="15">
        <f t="shared" si="55"/>
        <v>142.86837329392972</v>
      </c>
      <c r="J204" s="15">
        <f t="shared" si="56"/>
        <v>6063.4835594427877</v>
      </c>
      <c r="K204" s="15"/>
      <c r="L204" s="15">
        <f t="shared" si="57"/>
        <v>131.02351975170524</v>
      </c>
      <c r="M204" s="15">
        <f t="shared" si="58"/>
        <v>4359.1051604038112</v>
      </c>
      <c r="N204" s="15"/>
      <c r="O204" s="15">
        <f t="shared" si="59"/>
        <v>152.54075515223133</v>
      </c>
      <c r="P204" s="15">
        <f t="shared" si="60"/>
        <v>7663.3838126229157</v>
      </c>
      <c r="Q204" s="4"/>
    </row>
    <row r="205" spans="1:17" x14ac:dyDescent="0.3">
      <c r="A205" s="86">
        <v>0.2</v>
      </c>
      <c r="B205" s="86">
        <v>2</v>
      </c>
      <c r="C205" s="87">
        <v>4</v>
      </c>
      <c r="D205" s="15"/>
      <c r="E205" s="15">
        <f t="shared" si="52"/>
        <v>2.3184754201666844</v>
      </c>
      <c r="F205" s="15">
        <f t="shared" si="53"/>
        <v>2.8275249125836086</v>
      </c>
      <c r="G205" s="15">
        <f t="shared" si="54"/>
        <v>532.58620689655174</v>
      </c>
      <c r="H205" s="15"/>
      <c r="I205" s="15">
        <f t="shared" si="55"/>
        <v>1.3254296690901357</v>
      </c>
      <c r="J205" s="15">
        <f t="shared" si="56"/>
        <v>7.1533264549832998</v>
      </c>
      <c r="K205" s="15"/>
      <c r="L205" s="15">
        <f t="shared" si="57"/>
        <v>1.0485316503976818</v>
      </c>
      <c r="M205" s="15">
        <f t="shared" si="58"/>
        <v>8.7111654187042298</v>
      </c>
      <c r="N205" s="15"/>
      <c r="O205" s="15">
        <f t="shared" si="59"/>
        <v>1.7745203884759686</v>
      </c>
      <c r="P205" s="15">
        <f t="shared" si="60"/>
        <v>4.9527595013091537</v>
      </c>
      <c r="Q205" s="4"/>
    </row>
    <row r="206" spans="1:17" x14ac:dyDescent="0.3">
      <c r="A206" s="86">
        <v>0.2</v>
      </c>
      <c r="B206" s="86">
        <v>2</v>
      </c>
      <c r="C206" s="87">
        <v>4</v>
      </c>
      <c r="D206" s="15"/>
      <c r="E206" s="15">
        <f t="shared" si="52"/>
        <v>2.3184754201666844</v>
      </c>
      <c r="F206" s="15">
        <f t="shared" si="53"/>
        <v>2.8275249125836086</v>
      </c>
      <c r="G206" s="15">
        <f t="shared" si="54"/>
        <v>532.58620689655174</v>
      </c>
      <c r="H206" s="15"/>
      <c r="I206" s="15">
        <f t="shared" si="55"/>
        <v>1.3254296690901357</v>
      </c>
      <c r="J206" s="15">
        <f t="shared" si="56"/>
        <v>7.1533264549832998</v>
      </c>
      <c r="K206" s="15"/>
      <c r="L206" s="15">
        <f t="shared" si="57"/>
        <v>1.0485316503976818</v>
      </c>
      <c r="M206" s="15">
        <f t="shared" si="58"/>
        <v>8.7111654187042298</v>
      </c>
      <c r="N206" s="15"/>
      <c r="O206" s="15">
        <f t="shared" si="59"/>
        <v>1.7745203884759686</v>
      </c>
      <c r="P206" s="15">
        <f t="shared" si="60"/>
        <v>4.9527595013091537</v>
      </c>
      <c r="Q206" s="4"/>
    </row>
    <row r="207" spans="1:17" x14ac:dyDescent="0.3">
      <c r="A207" s="86">
        <v>0.2</v>
      </c>
      <c r="B207" s="86">
        <v>2</v>
      </c>
      <c r="C207" s="87">
        <v>8</v>
      </c>
      <c r="D207" s="15"/>
      <c r="E207" s="15">
        <f t="shared" si="52"/>
        <v>2.3184754201666844</v>
      </c>
      <c r="F207" s="15">
        <f t="shared" si="53"/>
        <v>32.279721551250127</v>
      </c>
      <c r="G207" s="15">
        <f t="shared" si="54"/>
        <v>532.58620689655174</v>
      </c>
      <c r="H207" s="15"/>
      <c r="I207" s="15">
        <f t="shared" si="55"/>
        <v>1.3254296690901357</v>
      </c>
      <c r="J207" s="15">
        <f t="shared" si="56"/>
        <v>44.549889102262213</v>
      </c>
      <c r="K207" s="15"/>
      <c r="L207" s="15">
        <f t="shared" si="57"/>
        <v>1.0485316503976818</v>
      </c>
      <c r="M207" s="15">
        <f t="shared" si="58"/>
        <v>48.322912215522777</v>
      </c>
      <c r="N207" s="15"/>
      <c r="O207" s="15">
        <f t="shared" si="59"/>
        <v>1.7745203884759686</v>
      </c>
      <c r="P207" s="15">
        <f t="shared" si="60"/>
        <v>38.756596393501404</v>
      </c>
      <c r="Q207" s="4"/>
    </row>
    <row r="208" spans="1:17" x14ac:dyDescent="0.3">
      <c r="A208" s="86">
        <v>0.2</v>
      </c>
      <c r="B208" s="86">
        <v>2</v>
      </c>
      <c r="C208" s="87">
        <v>3</v>
      </c>
      <c r="D208" s="15"/>
      <c r="E208" s="15">
        <f t="shared" si="52"/>
        <v>2.3184754201666844</v>
      </c>
      <c r="F208" s="15">
        <f t="shared" si="53"/>
        <v>0.46447575291697735</v>
      </c>
      <c r="G208" s="15">
        <f t="shared" si="54"/>
        <v>532.58620689655174</v>
      </c>
      <c r="H208" s="15"/>
      <c r="I208" s="15">
        <f t="shared" si="55"/>
        <v>1.3254296690901357</v>
      </c>
      <c r="J208" s="15">
        <f t="shared" si="56"/>
        <v>2.8041857931635725</v>
      </c>
      <c r="K208" s="15"/>
      <c r="L208" s="15">
        <f t="shared" si="57"/>
        <v>1.0485316503976818</v>
      </c>
      <c r="M208" s="15">
        <f t="shared" si="58"/>
        <v>3.8082287194995956</v>
      </c>
      <c r="N208" s="15"/>
      <c r="O208" s="15">
        <f t="shared" si="59"/>
        <v>1.7745203884759686</v>
      </c>
      <c r="P208" s="15">
        <f t="shared" si="60"/>
        <v>1.5018002782610909</v>
      </c>
      <c r="Q208" s="4"/>
    </row>
    <row r="209" spans="1:17" x14ac:dyDescent="0.3">
      <c r="A209" s="86">
        <v>0.2</v>
      </c>
      <c r="B209" s="86">
        <v>2</v>
      </c>
      <c r="C209" s="87">
        <v>5</v>
      </c>
      <c r="D209" s="15"/>
      <c r="E209" s="15">
        <f t="shared" si="52"/>
        <v>2.3184754201666844</v>
      </c>
      <c r="F209" s="15">
        <f t="shared" si="53"/>
        <v>7.1905740722502394</v>
      </c>
      <c r="G209" s="15">
        <f t="shared" si="54"/>
        <v>532.58620689655174</v>
      </c>
      <c r="H209" s="15"/>
      <c r="I209" s="15">
        <f t="shared" si="55"/>
        <v>1.3254296690901357</v>
      </c>
      <c r="J209" s="15">
        <f t="shared" si="56"/>
        <v>13.502467116803029</v>
      </c>
      <c r="K209" s="15"/>
      <c r="L209" s="15">
        <f t="shared" si="57"/>
        <v>1.0485316503976818</v>
      </c>
      <c r="M209" s="15">
        <f t="shared" si="58"/>
        <v>15.614102117908866</v>
      </c>
      <c r="N209" s="15"/>
      <c r="O209" s="15">
        <f t="shared" si="59"/>
        <v>1.7745203884759686</v>
      </c>
      <c r="P209" s="15">
        <f t="shared" si="60"/>
        <v>10.403718724357217</v>
      </c>
      <c r="Q209" s="4"/>
    </row>
    <row r="210" spans="1:17" x14ac:dyDescent="0.3">
      <c r="A210" s="14"/>
      <c r="B210" s="14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4"/>
    </row>
    <row r="211" spans="1:17" x14ac:dyDescent="0.3">
      <c r="A211" s="14"/>
      <c r="B211" s="14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4"/>
    </row>
    <row r="212" spans="1:17" x14ac:dyDescent="0.3">
      <c r="A212" s="14"/>
      <c r="B212" s="14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4"/>
    </row>
    <row r="213" spans="1:17" x14ac:dyDescent="0.3">
      <c r="A213" s="14"/>
      <c r="B213" s="14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4"/>
    </row>
    <row r="214" spans="1:17" x14ac:dyDescent="0.3">
      <c r="A214" s="14"/>
      <c r="B214" s="14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4"/>
    </row>
    <row r="215" spans="1:17" x14ac:dyDescent="0.3">
      <c r="A215" s="14"/>
      <c r="B215" s="14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4"/>
    </row>
    <row r="216" spans="1:17" x14ac:dyDescent="0.3">
      <c r="A216" s="14"/>
      <c r="B216" s="14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4"/>
    </row>
    <row r="217" spans="1:17" x14ac:dyDescent="0.3">
      <c r="A217" s="14"/>
      <c r="B217" s="14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4"/>
    </row>
    <row r="218" spans="1:17" x14ac:dyDescent="0.3">
      <c r="A218" s="14"/>
      <c r="B218" s="14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4"/>
    </row>
    <row r="219" spans="1:17" x14ac:dyDescent="0.3">
      <c r="A219" s="14"/>
      <c r="B219" s="14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4"/>
    </row>
    <row r="220" spans="1:17" x14ac:dyDescent="0.3">
      <c r="A220" s="14"/>
      <c r="B220" s="14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4"/>
    </row>
    <row r="221" spans="1:17" x14ac:dyDescent="0.3">
      <c r="A221" s="14"/>
      <c r="B221" s="14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4"/>
    </row>
    <row r="222" spans="1:17" x14ac:dyDescent="0.3">
      <c r="A222" s="14"/>
      <c r="B222" s="14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4"/>
    </row>
    <row r="223" spans="1:17" x14ac:dyDescent="0.3">
      <c r="A223" s="14"/>
      <c r="B223" s="14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4"/>
    </row>
    <row r="224" spans="1:17" x14ac:dyDescent="0.3">
      <c r="A224" s="14"/>
      <c r="B224" s="14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4"/>
    </row>
    <row r="225" spans="3:17" x14ac:dyDescent="0.3">
      <c r="C225" s="3"/>
      <c r="D225" s="3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4"/>
    </row>
    <row r="226" spans="3:17" x14ac:dyDescent="0.3">
      <c r="D226" s="3"/>
      <c r="E226" s="1" t="s">
        <v>17</v>
      </c>
      <c r="F226" s="1" t="s">
        <v>16</v>
      </c>
      <c r="G226" s="1"/>
      <c r="H226" s="2"/>
      <c r="I226" s="1" t="s">
        <v>17</v>
      </c>
      <c r="J226" s="1" t="s">
        <v>16</v>
      </c>
      <c r="K226" s="2"/>
      <c r="L226" s="1" t="s">
        <v>17</v>
      </c>
      <c r="M226" s="1" t="s">
        <v>16</v>
      </c>
      <c r="N226" s="2"/>
      <c r="O226" s="1" t="s">
        <v>17</v>
      </c>
      <c r="P226" s="1" t="s">
        <v>16</v>
      </c>
      <c r="Q226" s="4"/>
    </row>
    <row r="227" spans="3:17" x14ac:dyDescent="0.3">
      <c r="C227" s="2"/>
      <c r="D227" s="3"/>
      <c r="E227">
        <f t="shared" ref="E227:E258" si="61">(A135/$E$5)+(B135/$E$6)</f>
        <v>7.809440367336988E-2</v>
      </c>
      <c r="F227" s="3">
        <f t="shared" ref="F227:F258" si="62">C135-E135</f>
        <v>96.033594071349512</v>
      </c>
      <c r="G227" s="3"/>
      <c r="H227" s="2"/>
      <c r="I227">
        <f t="shared" ref="I227:I258" si="63">(A135/$I$5)+(B135/$I$6)</f>
        <v>8.3099125253546527E-2</v>
      </c>
      <c r="J227" s="3">
        <f t="shared" ref="J227:J258" si="64">C135-I135</f>
        <v>34.760324987250897</v>
      </c>
      <c r="K227" s="2"/>
      <c r="L227">
        <f t="shared" ref="L227:L258" si="65">(A135/$L$5)+(B135/$L$6)</f>
        <v>8.4505218859357689E-2</v>
      </c>
      <c r="M227" s="3">
        <f t="shared" ref="M227:M258" si="66">C135-L135</f>
        <v>32.378118961732298</v>
      </c>
      <c r="N227" s="2"/>
      <c r="O227">
        <f t="shared" ref="O227:O258" si="67">(A135/$O$5)+(B135/$O$6)</f>
        <v>8.0319848527641236E-2</v>
      </c>
      <c r="P227" s="4">
        <f t="shared" ref="P227:P258" si="68">C135-O135</f>
        <v>26.682435775190584</v>
      </c>
      <c r="Q227" s="4"/>
    </row>
    <row r="228" spans="3:17" x14ac:dyDescent="0.3">
      <c r="C228" s="2"/>
      <c r="D228" s="3"/>
      <c r="E228">
        <f t="shared" si="61"/>
        <v>7.809440367336988E-2</v>
      </c>
      <c r="F228" s="3">
        <f t="shared" si="62"/>
        <v>119.03359407134951</v>
      </c>
      <c r="G228" s="3"/>
      <c r="H228" s="2"/>
      <c r="I228">
        <f t="shared" si="63"/>
        <v>8.3099125253546527E-2</v>
      </c>
      <c r="J228" s="3">
        <f t="shared" si="64"/>
        <v>57.760324987250897</v>
      </c>
      <c r="K228" s="2"/>
      <c r="L228">
        <f t="shared" si="65"/>
        <v>8.4505218859357689E-2</v>
      </c>
      <c r="M228" s="3">
        <f t="shared" si="66"/>
        <v>55.378118961732298</v>
      </c>
      <c r="N228" s="2"/>
      <c r="O228">
        <f t="shared" si="67"/>
        <v>8.0319848527641236E-2</v>
      </c>
      <c r="P228" s="4">
        <f t="shared" si="68"/>
        <v>49.682435775190584</v>
      </c>
      <c r="Q228" s="4"/>
    </row>
    <row r="229" spans="3:17" x14ac:dyDescent="0.3">
      <c r="C229" s="2"/>
      <c r="D229" s="3"/>
      <c r="E229">
        <f t="shared" si="61"/>
        <v>7.809440367336988E-2</v>
      </c>
      <c r="F229" s="3">
        <f t="shared" si="62"/>
        <v>164.03359407134951</v>
      </c>
      <c r="G229" s="3"/>
      <c r="H229" s="2"/>
      <c r="I229">
        <f t="shared" si="63"/>
        <v>8.3099125253546527E-2</v>
      </c>
      <c r="J229" s="3">
        <f t="shared" si="64"/>
        <v>102.7603249872509</v>
      </c>
      <c r="K229" s="2"/>
      <c r="L229">
        <f t="shared" si="65"/>
        <v>8.4505218859357689E-2</v>
      </c>
      <c r="M229" s="3">
        <f t="shared" si="66"/>
        <v>100.3781189617323</v>
      </c>
      <c r="N229" s="2"/>
      <c r="O229">
        <f t="shared" si="67"/>
        <v>8.0319848527641236E-2</v>
      </c>
      <c r="P229" s="4">
        <f t="shared" si="68"/>
        <v>94.682435775190584</v>
      </c>
      <c r="Q229" s="4"/>
    </row>
    <row r="230" spans="3:17" x14ac:dyDescent="0.3">
      <c r="C230" s="2"/>
      <c r="D230" s="3"/>
      <c r="E230">
        <f t="shared" si="61"/>
        <v>7.809440367336988E-2</v>
      </c>
      <c r="F230" s="3">
        <f t="shared" si="62"/>
        <v>96.033594071349512</v>
      </c>
      <c r="G230" s="3"/>
      <c r="H230" s="2"/>
      <c r="I230">
        <f t="shared" si="63"/>
        <v>8.3099125253546527E-2</v>
      </c>
      <c r="J230" s="3">
        <f t="shared" si="64"/>
        <v>34.760324987250897</v>
      </c>
      <c r="K230" s="2"/>
      <c r="L230">
        <f t="shared" si="65"/>
        <v>8.4505218859357689E-2</v>
      </c>
      <c r="M230" s="3">
        <f t="shared" si="66"/>
        <v>32.378118961732298</v>
      </c>
      <c r="N230" s="2"/>
      <c r="O230">
        <f t="shared" si="67"/>
        <v>8.0319848527641236E-2</v>
      </c>
      <c r="P230" s="4">
        <f t="shared" si="68"/>
        <v>26.682435775190584</v>
      </c>
      <c r="Q230" s="4"/>
    </row>
    <row r="231" spans="3:17" x14ac:dyDescent="0.3">
      <c r="C231" s="2"/>
      <c r="E231">
        <f t="shared" si="61"/>
        <v>7.809440367336988E-2</v>
      </c>
      <c r="F231" s="3">
        <f t="shared" si="62"/>
        <v>87.033594071349512</v>
      </c>
      <c r="G231" s="3"/>
      <c r="H231" s="2"/>
      <c r="I231">
        <f t="shared" si="63"/>
        <v>8.3099125253546527E-2</v>
      </c>
      <c r="J231" s="3">
        <f t="shared" si="64"/>
        <v>25.760324987250897</v>
      </c>
      <c r="K231" s="2"/>
      <c r="L231">
        <f t="shared" si="65"/>
        <v>8.4505218859357689E-2</v>
      </c>
      <c r="M231" s="3">
        <f t="shared" si="66"/>
        <v>23.378118961732298</v>
      </c>
      <c r="N231" s="2"/>
      <c r="O231">
        <f t="shared" si="67"/>
        <v>8.0319848527641236E-2</v>
      </c>
      <c r="P231" s="4">
        <f t="shared" si="68"/>
        <v>17.682435775190584</v>
      </c>
      <c r="Q231" s="4"/>
    </row>
    <row r="232" spans="3:17" x14ac:dyDescent="0.3">
      <c r="C232" s="2"/>
      <c r="D232" s="2"/>
      <c r="E232">
        <f t="shared" si="61"/>
        <v>0.15618880734673976</v>
      </c>
      <c r="F232" s="3">
        <f t="shared" si="62"/>
        <v>182.90662015720488</v>
      </c>
      <c r="G232" s="3"/>
      <c r="H232" s="2"/>
      <c r="I232">
        <f t="shared" si="63"/>
        <v>0.16619825050709305</v>
      </c>
      <c r="J232" s="3">
        <f t="shared" si="64"/>
        <v>107.22050766262669</v>
      </c>
      <c r="K232" s="2"/>
      <c r="L232">
        <f t="shared" si="65"/>
        <v>0.16901043771871538</v>
      </c>
      <c r="M232" s="3">
        <f t="shared" si="66"/>
        <v>105.28177280004877</v>
      </c>
      <c r="N232" s="2"/>
      <c r="O232">
        <f t="shared" si="67"/>
        <v>0.16063969705528247</v>
      </c>
      <c r="P232" s="4">
        <f t="shared" si="68"/>
        <v>96.667781172156651</v>
      </c>
      <c r="Q232" s="4"/>
    </row>
    <row r="233" spans="3:17" x14ac:dyDescent="0.3">
      <c r="C233" s="2"/>
      <c r="D233" s="2"/>
      <c r="E233">
        <f t="shared" si="61"/>
        <v>0.15618880734673976</v>
      </c>
      <c r="F233" s="3">
        <f t="shared" si="62"/>
        <v>128.90662015720488</v>
      </c>
      <c r="G233" s="3"/>
      <c r="H233" s="2"/>
      <c r="I233">
        <f t="shared" si="63"/>
        <v>0.16619825050709305</v>
      </c>
      <c r="J233" s="3">
        <f t="shared" si="64"/>
        <v>53.220507662626687</v>
      </c>
      <c r="K233" s="2"/>
      <c r="L233">
        <f t="shared" si="65"/>
        <v>0.16901043771871538</v>
      </c>
      <c r="M233" s="3">
        <f t="shared" si="66"/>
        <v>51.28177280004877</v>
      </c>
      <c r="N233" s="2"/>
      <c r="O233">
        <f t="shared" si="67"/>
        <v>0.16063969705528247</v>
      </c>
      <c r="P233" s="4">
        <f t="shared" si="68"/>
        <v>42.667781172156651</v>
      </c>
      <c r="Q233" s="4"/>
    </row>
    <row r="234" spans="3:17" x14ac:dyDescent="0.3">
      <c r="C234" s="2"/>
      <c r="D234" s="2"/>
      <c r="E234">
        <f t="shared" si="61"/>
        <v>0.15618880734673976</v>
      </c>
      <c r="F234" s="3">
        <f t="shared" si="62"/>
        <v>58.906620157204884</v>
      </c>
      <c r="G234" s="3"/>
      <c r="H234" s="2"/>
      <c r="I234">
        <f t="shared" si="63"/>
        <v>0.16619825050709305</v>
      </c>
      <c r="J234" s="3">
        <f t="shared" si="64"/>
        <v>-16.779492337373313</v>
      </c>
      <c r="K234" s="2"/>
      <c r="L234">
        <f t="shared" si="65"/>
        <v>0.16901043771871538</v>
      </c>
      <c r="M234" s="3">
        <f t="shared" si="66"/>
        <v>-18.71822719995123</v>
      </c>
      <c r="N234" s="2"/>
      <c r="O234">
        <f t="shared" si="67"/>
        <v>0.16063969705528247</v>
      </c>
      <c r="P234" s="4">
        <f t="shared" si="68"/>
        <v>-27.332218827843349</v>
      </c>
      <c r="Q234" s="4"/>
    </row>
    <row r="235" spans="3:17" x14ac:dyDescent="0.3">
      <c r="C235" s="2"/>
      <c r="D235" s="2"/>
      <c r="E235">
        <f t="shared" si="61"/>
        <v>0.15618880734673976</v>
      </c>
      <c r="F235" s="3">
        <f t="shared" si="62"/>
        <v>117.90662015720488</v>
      </c>
      <c r="G235" s="3"/>
      <c r="H235" s="2"/>
      <c r="I235">
        <f t="shared" si="63"/>
        <v>0.16619825050709305</v>
      </c>
      <c r="J235" s="3">
        <f t="shared" si="64"/>
        <v>42.220507662626687</v>
      </c>
      <c r="K235" s="2"/>
      <c r="L235">
        <f t="shared" si="65"/>
        <v>0.16901043771871538</v>
      </c>
      <c r="M235" s="3">
        <f t="shared" si="66"/>
        <v>40.28177280004877</v>
      </c>
      <c r="N235" s="2"/>
      <c r="O235">
        <f t="shared" si="67"/>
        <v>0.16063969705528247</v>
      </c>
      <c r="P235" s="4">
        <f t="shared" si="68"/>
        <v>31.667781172156651</v>
      </c>
      <c r="Q235" s="4"/>
    </row>
    <row r="236" spans="3:17" x14ac:dyDescent="0.3">
      <c r="D236" s="2"/>
      <c r="E236">
        <f t="shared" si="61"/>
        <v>0.15618880734673976</v>
      </c>
      <c r="F236" s="3">
        <f t="shared" si="62"/>
        <v>84.906620157204884</v>
      </c>
      <c r="G236" s="3"/>
      <c r="H236" s="2"/>
      <c r="I236">
        <f t="shared" si="63"/>
        <v>0.16619825050709305</v>
      </c>
      <c r="J236" s="3">
        <f t="shared" si="64"/>
        <v>9.2205076626266873</v>
      </c>
      <c r="K236" s="2"/>
      <c r="L236">
        <f t="shared" si="65"/>
        <v>0.16901043771871538</v>
      </c>
      <c r="M236" s="3">
        <f t="shared" si="66"/>
        <v>7.2817728000487705</v>
      </c>
      <c r="N236" s="2"/>
      <c r="O236">
        <f t="shared" si="67"/>
        <v>0.16063969705528247</v>
      </c>
      <c r="P236" s="4">
        <f t="shared" si="68"/>
        <v>-1.3322188278433487</v>
      </c>
      <c r="Q236" s="4"/>
    </row>
    <row r="237" spans="3:17" x14ac:dyDescent="0.3">
      <c r="D237" s="2"/>
      <c r="E237">
        <f t="shared" si="61"/>
        <v>0.31237761469347952</v>
      </c>
      <c r="F237" s="3">
        <f t="shared" si="62"/>
        <v>72.259728639068953</v>
      </c>
      <c r="G237" s="3"/>
      <c r="H237" s="2"/>
      <c r="I237">
        <f t="shared" si="63"/>
        <v>0.33239650101418611</v>
      </c>
      <c r="J237" s="3">
        <f t="shared" si="64"/>
        <v>-21.885741732971724</v>
      </c>
      <c r="K237" s="2"/>
      <c r="L237">
        <f t="shared" si="65"/>
        <v>0.33802087543743076</v>
      </c>
      <c r="M237" s="3">
        <f t="shared" si="66"/>
        <v>-23.045548263729415</v>
      </c>
      <c r="N237" s="2"/>
      <c r="O237">
        <f t="shared" si="67"/>
        <v>0.32127939411056494</v>
      </c>
      <c r="P237" s="4">
        <f t="shared" si="68"/>
        <v>-35.162671704779541</v>
      </c>
      <c r="Q237" s="4"/>
    </row>
    <row r="238" spans="3:17" x14ac:dyDescent="0.3">
      <c r="D238" s="2"/>
      <c r="E238">
        <f t="shared" si="61"/>
        <v>0.31237761469347952</v>
      </c>
      <c r="F238" s="3">
        <f t="shared" si="62"/>
        <v>108.25972863906895</v>
      </c>
      <c r="G238" s="3"/>
      <c r="H238" s="2"/>
      <c r="I238">
        <f t="shared" si="63"/>
        <v>0.33239650101418611</v>
      </c>
      <c r="J238" s="3">
        <f t="shared" si="64"/>
        <v>14.114258267028276</v>
      </c>
      <c r="K238" s="2"/>
      <c r="L238">
        <f t="shared" si="65"/>
        <v>0.33802087543743076</v>
      </c>
      <c r="M238" s="3">
        <f t="shared" si="66"/>
        <v>12.954451736270585</v>
      </c>
      <c r="N238" s="2"/>
      <c r="O238">
        <f t="shared" si="67"/>
        <v>0.32127939411056494</v>
      </c>
      <c r="P238" s="4">
        <f t="shared" si="68"/>
        <v>0.83732829522045904</v>
      </c>
      <c r="Q238" s="4"/>
    </row>
    <row r="239" spans="3:17" x14ac:dyDescent="0.3">
      <c r="D239" s="2"/>
      <c r="E239">
        <f t="shared" si="61"/>
        <v>0.31237761469347952</v>
      </c>
      <c r="F239" s="3">
        <f t="shared" si="62"/>
        <v>146.25972863906895</v>
      </c>
      <c r="G239" s="3"/>
      <c r="H239" s="2"/>
      <c r="I239">
        <f t="shared" si="63"/>
        <v>0.33239650101418611</v>
      </c>
      <c r="J239" s="3">
        <f t="shared" si="64"/>
        <v>52.114258267028276</v>
      </c>
      <c r="K239" s="2"/>
      <c r="L239">
        <f t="shared" si="65"/>
        <v>0.33802087543743076</v>
      </c>
      <c r="M239" s="3">
        <f t="shared" si="66"/>
        <v>50.954451736270585</v>
      </c>
      <c r="N239" s="2"/>
      <c r="O239">
        <f t="shared" si="67"/>
        <v>0.32127939411056494</v>
      </c>
      <c r="P239" s="4">
        <f t="shared" si="68"/>
        <v>38.837328295220459</v>
      </c>
      <c r="Q239" s="4"/>
    </row>
    <row r="240" spans="3:17" x14ac:dyDescent="0.3">
      <c r="D240" s="2"/>
      <c r="E240">
        <f t="shared" si="61"/>
        <v>0.31237761469347952</v>
      </c>
      <c r="F240" s="3">
        <f t="shared" si="62"/>
        <v>40.259728639068953</v>
      </c>
      <c r="G240" s="3"/>
      <c r="H240" s="2"/>
      <c r="I240">
        <f t="shared" si="63"/>
        <v>0.33239650101418611</v>
      </c>
      <c r="J240" s="3">
        <f t="shared" si="64"/>
        <v>-53.885741732971724</v>
      </c>
      <c r="K240" s="2"/>
      <c r="L240">
        <f t="shared" si="65"/>
        <v>0.33802087543743076</v>
      </c>
      <c r="M240" s="3">
        <f t="shared" si="66"/>
        <v>-55.045548263729415</v>
      </c>
      <c r="N240" s="2"/>
      <c r="O240">
        <f t="shared" si="67"/>
        <v>0.32127939411056494</v>
      </c>
      <c r="P240" s="4">
        <f t="shared" si="68"/>
        <v>-67.162671704779541</v>
      </c>
      <c r="Q240" s="4"/>
    </row>
    <row r="241" spans="5:17" x14ac:dyDescent="0.3">
      <c r="E241">
        <f t="shared" si="61"/>
        <v>0.31237761469347952</v>
      </c>
      <c r="F241" s="3">
        <f t="shared" si="62"/>
        <v>44.259728639068953</v>
      </c>
      <c r="G241" s="3"/>
      <c r="H241" s="2"/>
      <c r="I241">
        <f t="shared" si="63"/>
        <v>0.33239650101418611</v>
      </c>
      <c r="J241" s="3">
        <f t="shared" si="64"/>
        <v>-49.885741732971724</v>
      </c>
      <c r="K241" s="2"/>
      <c r="L241">
        <f t="shared" si="65"/>
        <v>0.33802087543743076</v>
      </c>
      <c r="M241" s="3">
        <f t="shared" si="66"/>
        <v>-51.045548263729415</v>
      </c>
      <c r="N241" s="2"/>
      <c r="O241">
        <f t="shared" si="67"/>
        <v>0.32127939411056494</v>
      </c>
      <c r="P241" s="4">
        <f t="shared" si="68"/>
        <v>-63.162671704779541</v>
      </c>
      <c r="Q241" s="4"/>
    </row>
    <row r="242" spans="5:17" x14ac:dyDescent="0.3">
      <c r="E242">
        <f t="shared" si="61"/>
        <v>0.62475522938695904</v>
      </c>
      <c r="F242" s="3">
        <f t="shared" si="62"/>
        <v>12.613338528420854</v>
      </c>
      <c r="G242" s="3"/>
      <c r="H242" s="2"/>
      <c r="I242">
        <f t="shared" si="63"/>
        <v>0.66479300202837222</v>
      </c>
      <c r="J242" s="3">
        <f t="shared" si="64"/>
        <v>-119.71126048811084</v>
      </c>
      <c r="K242" s="2"/>
      <c r="L242">
        <f t="shared" si="65"/>
        <v>0.67604175087486151</v>
      </c>
      <c r="M242" s="3">
        <f t="shared" si="66"/>
        <v>-119.89482618454747</v>
      </c>
      <c r="N242" s="2"/>
      <c r="O242">
        <f t="shared" si="67"/>
        <v>0.64255878822112988</v>
      </c>
      <c r="P242" s="4">
        <f t="shared" si="68"/>
        <v>-135.85704666810693</v>
      </c>
      <c r="Q242" s="4"/>
    </row>
    <row r="243" spans="5:17" x14ac:dyDescent="0.3">
      <c r="E243">
        <f t="shared" si="61"/>
        <v>0.62475522938695904</v>
      </c>
      <c r="F243" s="3">
        <f t="shared" si="62"/>
        <v>327.61333852842085</v>
      </c>
      <c r="G243" s="3"/>
      <c r="H243" s="2"/>
      <c r="I243">
        <f t="shared" si="63"/>
        <v>0.66479300202837222</v>
      </c>
      <c r="J243" s="3">
        <f t="shared" si="64"/>
        <v>195.28873951188916</v>
      </c>
      <c r="K243" s="2"/>
      <c r="L243">
        <f t="shared" si="65"/>
        <v>0.67604175087486151</v>
      </c>
      <c r="M243" s="3">
        <f t="shared" si="66"/>
        <v>195.10517381545253</v>
      </c>
      <c r="N243" s="2"/>
      <c r="O243">
        <f t="shared" si="67"/>
        <v>0.64255878822112988</v>
      </c>
      <c r="P243" s="4">
        <f t="shared" si="68"/>
        <v>179.14295333189307</v>
      </c>
      <c r="Q243" s="4"/>
    </row>
    <row r="244" spans="5:17" x14ac:dyDescent="0.3">
      <c r="E244">
        <f t="shared" si="61"/>
        <v>0.62475522938695904</v>
      </c>
      <c r="F244" s="3">
        <f t="shared" si="62"/>
        <v>-55.386661471579146</v>
      </c>
      <c r="G244" s="3"/>
      <c r="H244" s="2"/>
      <c r="I244">
        <f t="shared" si="63"/>
        <v>0.66479300202837222</v>
      </c>
      <c r="J244" s="3">
        <f t="shared" si="64"/>
        <v>-187.71126048811084</v>
      </c>
      <c r="K244" s="2"/>
      <c r="L244">
        <f t="shared" si="65"/>
        <v>0.67604175087486151</v>
      </c>
      <c r="M244" s="3">
        <f t="shared" si="66"/>
        <v>-187.89482618454747</v>
      </c>
      <c r="N244" s="2"/>
      <c r="O244">
        <f t="shared" si="67"/>
        <v>0.64255878822112988</v>
      </c>
      <c r="P244" s="4">
        <f t="shared" si="68"/>
        <v>-203.85704666810693</v>
      </c>
      <c r="Q244" s="4"/>
    </row>
    <row r="245" spans="5:17" x14ac:dyDescent="0.3">
      <c r="E245">
        <f t="shared" si="61"/>
        <v>0.62475522938695904</v>
      </c>
      <c r="F245" s="3">
        <f t="shared" si="62"/>
        <v>280.61333852842085</v>
      </c>
      <c r="G245" s="3"/>
      <c r="H245" s="2"/>
      <c r="I245">
        <f t="shared" si="63"/>
        <v>0.66479300202837222</v>
      </c>
      <c r="J245" s="3">
        <f t="shared" si="64"/>
        <v>148.28873951188916</v>
      </c>
      <c r="K245" s="2"/>
      <c r="L245">
        <f t="shared" si="65"/>
        <v>0.67604175087486151</v>
      </c>
      <c r="M245" s="3">
        <f t="shared" si="66"/>
        <v>148.10517381545253</v>
      </c>
      <c r="N245" s="2"/>
      <c r="O245">
        <f t="shared" si="67"/>
        <v>0.64255878822112988</v>
      </c>
      <c r="P245" s="4">
        <f t="shared" si="68"/>
        <v>132.14295333189307</v>
      </c>
      <c r="Q245" s="4"/>
    </row>
    <row r="246" spans="5:17" x14ac:dyDescent="0.3">
      <c r="E246">
        <f t="shared" si="61"/>
        <v>0.62475522938695904</v>
      </c>
      <c r="F246" s="3">
        <f t="shared" si="62"/>
        <v>283.61333852842085</v>
      </c>
      <c r="G246" s="3"/>
      <c r="H246" s="2"/>
      <c r="I246">
        <f t="shared" si="63"/>
        <v>0.66479300202837222</v>
      </c>
      <c r="J246" s="3">
        <f t="shared" si="64"/>
        <v>151.28873951188916</v>
      </c>
      <c r="K246" s="2"/>
      <c r="L246">
        <f t="shared" si="65"/>
        <v>0.67604175087486151</v>
      </c>
      <c r="M246" s="3">
        <f t="shared" si="66"/>
        <v>151.10517381545253</v>
      </c>
      <c r="N246" s="2"/>
      <c r="O246">
        <f t="shared" si="67"/>
        <v>0.64255878822112988</v>
      </c>
      <c r="P246" s="4">
        <f t="shared" si="68"/>
        <v>135.14295333189307</v>
      </c>
      <c r="Q246" s="4"/>
    </row>
    <row r="247" spans="5:17" x14ac:dyDescent="0.3">
      <c r="E247">
        <f t="shared" si="61"/>
        <v>1.2495104587739181</v>
      </c>
      <c r="F247" s="3">
        <f t="shared" si="62"/>
        <v>137.72002816310763</v>
      </c>
      <c r="G247" s="3"/>
      <c r="H247" s="2"/>
      <c r="I247">
        <f t="shared" si="63"/>
        <v>1.3295860040567444</v>
      </c>
      <c r="J247" s="3">
        <f t="shared" si="64"/>
        <v>-13.37597350805521</v>
      </c>
      <c r="K247" s="2"/>
      <c r="L247">
        <f t="shared" si="65"/>
        <v>1.352083501749723</v>
      </c>
      <c r="M247" s="3">
        <f t="shared" si="66"/>
        <v>-18.463256117285368</v>
      </c>
      <c r="N247" s="2"/>
      <c r="O247">
        <f t="shared" si="67"/>
        <v>1.2851175764422598</v>
      </c>
      <c r="P247" s="4">
        <f t="shared" si="68"/>
        <v>10.534770665770338</v>
      </c>
      <c r="Q247" s="4"/>
    </row>
    <row r="248" spans="5:17" x14ac:dyDescent="0.3">
      <c r="E248">
        <f t="shared" si="61"/>
        <v>1.2495104587739181</v>
      </c>
      <c r="F248" s="3">
        <f t="shared" si="62"/>
        <v>197.72002816310763</v>
      </c>
      <c r="G248" s="3"/>
      <c r="H248" s="2"/>
      <c r="I248">
        <f t="shared" si="63"/>
        <v>1.3295860040567444</v>
      </c>
      <c r="J248" s="3">
        <f t="shared" si="64"/>
        <v>46.62402649194479</v>
      </c>
      <c r="K248" s="2"/>
      <c r="L248">
        <f t="shared" si="65"/>
        <v>1.352083501749723</v>
      </c>
      <c r="M248" s="3">
        <f t="shared" si="66"/>
        <v>41.536743882714632</v>
      </c>
      <c r="N248" s="2"/>
      <c r="O248">
        <f t="shared" si="67"/>
        <v>1.2851175764422598</v>
      </c>
      <c r="P248" s="4">
        <f t="shared" si="68"/>
        <v>70.534770665770338</v>
      </c>
      <c r="Q248" s="4"/>
    </row>
    <row r="249" spans="5:17" x14ac:dyDescent="0.3">
      <c r="E249">
        <f t="shared" si="61"/>
        <v>1.2495104587739181</v>
      </c>
      <c r="F249" s="3">
        <f t="shared" si="62"/>
        <v>237.72002816310763</v>
      </c>
      <c r="G249" s="3"/>
      <c r="H249" s="2"/>
      <c r="I249">
        <f t="shared" si="63"/>
        <v>1.3295860040567444</v>
      </c>
      <c r="J249" s="3">
        <f t="shared" si="64"/>
        <v>86.62402649194479</v>
      </c>
      <c r="K249" s="2"/>
      <c r="L249">
        <f t="shared" si="65"/>
        <v>1.352083501749723</v>
      </c>
      <c r="M249" s="3">
        <f t="shared" si="66"/>
        <v>81.536743882714632</v>
      </c>
      <c r="N249" s="2"/>
      <c r="O249">
        <f t="shared" si="67"/>
        <v>1.2851175764422598</v>
      </c>
      <c r="P249" s="4">
        <f t="shared" si="68"/>
        <v>110.53477066577034</v>
      </c>
      <c r="Q249" s="4"/>
    </row>
    <row r="250" spans="5:17" x14ac:dyDescent="0.3">
      <c r="E250">
        <f t="shared" si="61"/>
        <v>1.2495104587739181</v>
      </c>
      <c r="F250" s="3">
        <f t="shared" si="62"/>
        <v>37.720028163107628</v>
      </c>
      <c r="G250" s="3"/>
      <c r="H250" s="2"/>
      <c r="I250">
        <f t="shared" si="63"/>
        <v>1.3295860040567444</v>
      </c>
      <c r="J250" s="3">
        <f t="shared" si="64"/>
        <v>-113.37597350805521</v>
      </c>
      <c r="K250" s="2"/>
      <c r="L250">
        <f t="shared" si="65"/>
        <v>1.352083501749723</v>
      </c>
      <c r="M250" s="3">
        <f t="shared" si="66"/>
        <v>-118.46325611728537</v>
      </c>
      <c r="N250" s="2"/>
      <c r="O250">
        <f t="shared" si="67"/>
        <v>1.2851175764422598</v>
      </c>
      <c r="P250" s="4">
        <f t="shared" si="68"/>
        <v>-89.465229334229662</v>
      </c>
      <c r="Q250" s="4"/>
    </row>
    <row r="251" spans="5:17" x14ac:dyDescent="0.3">
      <c r="E251">
        <f t="shared" si="61"/>
        <v>1.2495104587739181</v>
      </c>
      <c r="F251" s="3">
        <f t="shared" si="62"/>
        <v>37.720028163107628</v>
      </c>
      <c r="G251" s="3"/>
      <c r="H251" s="2"/>
      <c r="I251">
        <f t="shared" si="63"/>
        <v>1.3295860040567444</v>
      </c>
      <c r="J251" s="3">
        <f t="shared" si="64"/>
        <v>-113.37597350805521</v>
      </c>
      <c r="K251" s="2"/>
      <c r="L251">
        <f t="shared" si="65"/>
        <v>1.352083501749723</v>
      </c>
      <c r="M251" s="3">
        <f t="shared" si="66"/>
        <v>-118.46325611728537</v>
      </c>
      <c r="N251" s="2"/>
      <c r="O251">
        <f t="shared" si="67"/>
        <v>1.2851175764422598</v>
      </c>
      <c r="P251" s="4">
        <f t="shared" si="68"/>
        <v>-89.465229334229662</v>
      </c>
      <c r="Q251" s="4"/>
    </row>
    <row r="252" spans="5:17" x14ac:dyDescent="0.3">
      <c r="E252">
        <f t="shared" si="61"/>
        <v>0.22421495612813516</v>
      </c>
      <c r="F252" s="3">
        <f t="shared" si="62"/>
        <v>40.761371691025374</v>
      </c>
      <c r="G252" s="3"/>
      <c r="H252" s="2"/>
      <c r="I252">
        <f t="shared" si="63"/>
        <v>0.23881087155478001</v>
      </c>
      <c r="J252" s="3">
        <f t="shared" si="64"/>
        <v>83.349946874722491</v>
      </c>
      <c r="K252" s="2"/>
      <c r="L252">
        <f t="shared" si="65"/>
        <v>0.2378685989107415</v>
      </c>
      <c r="M252" s="3">
        <f t="shared" si="66"/>
        <v>79.826373137312999</v>
      </c>
      <c r="N252" s="2"/>
      <c r="O252">
        <f t="shared" si="67"/>
        <v>0.23480016647072111</v>
      </c>
      <c r="P252" s="4">
        <f t="shared" si="68"/>
        <v>90.329494459484863</v>
      </c>
      <c r="Q252" s="4"/>
    </row>
    <row r="253" spans="5:17" x14ac:dyDescent="0.3">
      <c r="E253">
        <f t="shared" si="61"/>
        <v>0.22421495612813516</v>
      </c>
      <c r="F253" s="3">
        <f t="shared" si="62"/>
        <v>16.761371691025374</v>
      </c>
      <c r="G253" s="3"/>
      <c r="H253" s="2"/>
      <c r="I253">
        <f t="shared" si="63"/>
        <v>0.23881087155478001</v>
      </c>
      <c r="J253" s="3">
        <f t="shared" si="64"/>
        <v>59.349946874722491</v>
      </c>
      <c r="K253" s="2"/>
      <c r="L253">
        <f t="shared" si="65"/>
        <v>0.2378685989107415</v>
      </c>
      <c r="M253" s="3">
        <f t="shared" si="66"/>
        <v>55.826373137312999</v>
      </c>
      <c r="N253" s="2"/>
      <c r="O253">
        <f t="shared" si="67"/>
        <v>0.23480016647072111</v>
      </c>
      <c r="P253" s="4">
        <f t="shared" si="68"/>
        <v>66.329494459484863</v>
      </c>
      <c r="Q253" s="4"/>
    </row>
    <row r="254" spans="5:17" x14ac:dyDescent="0.3">
      <c r="E254">
        <f t="shared" si="61"/>
        <v>0.22421495612813516</v>
      </c>
      <c r="F254" s="3">
        <f t="shared" si="62"/>
        <v>-189.23862830897463</v>
      </c>
      <c r="G254" s="3"/>
      <c r="H254" s="2"/>
      <c r="I254">
        <f t="shared" si="63"/>
        <v>0.23881087155478001</v>
      </c>
      <c r="J254" s="3">
        <f t="shared" si="64"/>
        <v>-146.65005312527751</v>
      </c>
      <c r="K254" s="2"/>
      <c r="L254">
        <f t="shared" si="65"/>
        <v>0.2378685989107415</v>
      </c>
      <c r="M254" s="3">
        <f t="shared" si="66"/>
        <v>-150.173626862687</v>
      </c>
      <c r="N254" s="2"/>
      <c r="O254">
        <f t="shared" si="67"/>
        <v>0.23480016647072111</v>
      </c>
      <c r="P254" s="4">
        <f t="shared" si="68"/>
        <v>-139.67050554051514</v>
      </c>
      <c r="Q254" s="4"/>
    </row>
    <row r="255" spans="5:17" x14ac:dyDescent="0.3">
      <c r="E255">
        <f t="shared" si="61"/>
        <v>0.22421495612813516</v>
      </c>
      <c r="F255" s="3">
        <f t="shared" si="62"/>
        <v>52.761371691025374</v>
      </c>
      <c r="G255" s="3"/>
      <c r="H255" s="2"/>
      <c r="I255">
        <f t="shared" si="63"/>
        <v>0.23881087155478001</v>
      </c>
      <c r="J255" s="3">
        <f t="shared" si="64"/>
        <v>95.349946874722491</v>
      </c>
      <c r="K255" s="2"/>
      <c r="L255">
        <f t="shared" si="65"/>
        <v>0.2378685989107415</v>
      </c>
      <c r="M255" s="3">
        <f t="shared" si="66"/>
        <v>91.826373137312999</v>
      </c>
      <c r="N255" s="2"/>
      <c r="O255">
        <f t="shared" si="67"/>
        <v>0.23480016647072111</v>
      </c>
      <c r="P255" s="4">
        <f t="shared" si="68"/>
        <v>102.32949445948486</v>
      </c>
      <c r="Q255" s="4"/>
    </row>
    <row r="256" spans="5:17" x14ac:dyDescent="0.3">
      <c r="E256">
        <f t="shared" si="61"/>
        <v>0.22421495612813516</v>
      </c>
      <c r="F256" s="3">
        <f t="shared" si="62"/>
        <v>-48.238628308974626</v>
      </c>
      <c r="G256" s="3"/>
      <c r="H256" s="2"/>
      <c r="I256">
        <f t="shared" si="63"/>
        <v>0.23881087155478001</v>
      </c>
      <c r="J256" s="3">
        <f t="shared" si="64"/>
        <v>-5.650053125277509</v>
      </c>
      <c r="K256" s="2"/>
      <c r="L256">
        <f t="shared" si="65"/>
        <v>0.2378685989107415</v>
      </c>
      <c r="M256" s="3">
        <f t="shared" si="66"/>
        <v>-9.1736268626870014</v>
      </c>
      <c r="N256" s="2"/>
      <c r="O256">
        <f t="shared" si="67"/>
        <v>0.23480016647072111</v>
      </c>
      <c r="P256" s="4">
        <f t="shared" si="68"/>
        <v>1.329494459484863</v>
      </c>
      <c r="Q256" s="4"/>
    </row>
    <row r="257" spans="5:17" x14ac:dyDescent="0.3">
      <c r="E257">
        <f t="shared" si="61"/>
        <v>0.44842991225627032</v>
      </c>
      <c r="F257" s="3">
        <f t="shared" si="62"/>
        <v>8.8733512279158049</v>
      </c>
      <c r="G257" s="3"/>
      <c r="H257" s="2"/>
      <c r="I257">
        <f t="shared" si="63"/>
        <v>0.47762174310956002</v>
      </c>
      <c r="J257" s="3">
        <f t="shared" si="64"/>
        <v>52.787566696178601</v>
      </c>
      <c r="K257" s="2"/>
      <c r="L257">
        <f t="shared" si="65"/>
        <v>0.47573719782148299</v>
      </c>
      <c r="M257" s="3">
        <f t="shared" si="66"/>
        <v>51.100258443987627</v>
      </c>
      <c r="N257" s="2"/>
      <c r="O257">
        <f t="shared" si="67"/>
        <v>0.46960033294144221</v>
      </c>
      <c r="P257" s="4">
        <f t="shared" si="68"/>
        <v>58.873521015069855</v>
      </c>
      <c r="Q257" s="4"/>
    </row>
    <row r="258" spans="5:17" x14ac:dyDescent="0.3">
      <c r="E258">
        <f t="shared" si="61"/>
        <v>0.44842991225627032</v>
      </c>
      <c r="F258" s="3">
        <f t="shared" si="62"/>
        <v>-61.126648772084195</v>
      </c>
      <c r="G258" s="3"/>
      <c r="H258" s="2"/>
      <c r="I258">
        <f t="shared" si="63"/>
        <v>0.47762174310956002</v>
      </c>
      <c r="J258" s="3">
        <f t="shared" si="64"/>
        <v>-17.212433303821399</v>
      </c>
      <c r="K258" s="2"/>
      <c r="L258">
        <f t="shared" si="65"/>
        <v>0.47573719782148299</v>
      </c>
      <c r="M258" s="3">
        <f t="shared" si="66"/>
        <v>-18.899741556012373</v>
      </c>
      <c r="N258" s="2"/>
      <c r="O258">
        <f t="shared" si="67"/>
        <v>0.46960033294144221</v>
      </c>
      <c r="P258" s="4">
        <f t="shared" si="68"/>
        <v>-11.126478984930145</v>
      </c>
      <c r="Q258" s="4"/>
    </row>
    <row r="259" spans="5:17" x14ac:dyDescent="0.3">
      <c r="E259">
        <f t="shared" ref="E259:E290" si="69">(A167/$E$5)+(B167/$E$6)</f>
        <v>0.44842991225627032</v>
      </c>
      <c r="F259" s="3">
        <f t="shared" ref="F259:F290" si="70">C167-E167</f>
        <v>1.8733512279158049</v>
      </c>
      <c r="G259" s="3"/>
      <c r="H259" s="2"/>
      <c r="I259">
        <f t="shared" ref="I259:I290" si="71">(A167/$I$5)+(B167/$I$6)</f>
        <v>0.47762174310956002</v>
      </c>
      <c r="J259" s="3">
        <f t="shared" ref="J259:J290" si="72">C167-I167</f>
        <v>45.787566696178601</v>
      </c>
      <c r="K259" s="2"/>
      <c r="L259">
        <f t="shared" ref="L259:L290" si="73">(A167/$L$5)+(B167/$L$6)</f>
        <v>0.47573719782148299</v>
      </c>
      <c r="M259" s="3">
        <f t="shared" ref="M259:M290" si="74">C167-L167</f>
        <v>44.100258443987627</v>
      </c>
      <c r="N259" s="2"/>
      <c r="O259">
        <f t="shared" ref="O259:O290" si="75">(A167/$O$5)+(B167/$O$6)</f>
        <v>0.46960033294144221</v>
      </c>
      <c r="P259" s="4">
        <f t="shared" ref="P259:P290" si="76">C167-O167</f>
        <v>51.873521015069855</v>
      </c>
      <c r="Q259" s="4"/>
    </row>
    <row r="260" spans="5:17" x14ac:dyDescent="0.3">
      <c r="E260">
        <f t="shared" si="69"/>
        <v>0.44842991225627032</v>
      </c>
      <c r="F260" s="3">
        <f t="shared" si="70"/>
        <v>43.873351227915805</v>
      </c>
      <c r="G260" s="3"/>
      <c r="H260" s="2"/>
      <c r="I260">
        <f t="shared" si="71"/>
        <v>0.47762174310956002</v>
      </c>
      <c r="J260" s="3">
        <f t="shared" si="72"/>
        <v>87.787566696178601</v>
      </c>
      <c r="K260" s="2"/>
      <c r="L260">
        <f t="shared" si="73"/>
        <v>0.47573719782148299</v>
      </c>
      <c r="M260" s="3">
        <f t="shared" si="74"/>
        <v>86.100258443987627</v>
      </c>
      <c r="N260" s="2"/>
      <c r="O260">
        <f t="shared" si="75"/>
        <v>0.46960033294144221</v>
      </c>
      <c r="P260" s="4">
        <f t="shared" si="76"/>
        <v>93.873521015069855</v>
      </c>
      <c r="Q260" s="4"/>
    </row>
    <row r="261" spans="5:17" x14ac:dyDescent="0.3">
      <c r="E261">
        <f t="shared" si="69"/>
        <v>0.44842991225627032</v>
      </c>
      <c r="F261" s="3">
        <f t="shared" si="70"/>
        <v>-65.126648772084195</v>
      </c>
      <c r="G261" s="3"/>
      <c r="H261" s="2"/>
      <c r="I261">
        <f t="shared" si="71"/>
        <v>0.47762174310956002</v>
      </c>
      <c r="J261" s="3">
        <f t="shared" si="72"/>
        <v>-21.212433303821399</v>
      </c>
      <c r="K261" s="2"/>
      <c r="L261">
        <f t="shared" si="73"/>
        <v>0.47573719782148299</v>
      </c>
      <c r="M261" s="3">
        <f t="shared" si="74"/>
        <v>-22.899741556012373</v>
      </c>
      <c r="N261" s="2"/>
      <c r="O261">
        <f t="shared" si="75"/>
        <v>0.46960033294144221</v>
      </c>
      <c r="P261" s="4">
        <f t="shared" si="76"/>
        <v>-15.126478984930145</v>
      </c>
      <c r="Q261" s="4"/>
    </row>
    <row r="262" spans="5:17" x14ac:dyDescent="0.3">
      <c r="E262">
        <f t="shared" si="69"/>
        <v>0.89685982451254065</v>
      </c>
      <c r="F262" s="3">
        <f t="shared" si="70"/>
        <v>-1.6761543249741635</v>
      </c>
      <c r="G262" s="3"/>
      <c r="H262" s="2"/>
      <c r="I262">
        <f t="shared" si="71"/>
        <v>0.95524348621912003</v>
      </c>
      <c r="J262" s="3">
        <f t="shared" si="72"/>
        <v>59.913180292585594</v>
      </c>
      <c r="K262" s="2"/>
      <c r="L262">
        <f t="shared" si="73"/>
        <v>0.95147439564296599</v>
      </c>
      <c r="M262" s="3">
        <f t="shared" si="74"/>
        <v>59.782588290379977</v>
      </c>
      <c r="N262" s="2"/>
      <c r="O262">
        <f t="shared" si="75"/>
        <v>0.93920066588288442</v>
      </c>
      <c r="P262" s="4">
        <f t="shared" si="76"/>
        <v>53.94354716178043</v>
      </c>
      <c r="Q262" s="4"/>
    </row>
    <row r="263" spans="5:17" x14ac:dyDescent="0.3">
      <c r="E263">
        <f t="shared" si="69"/>
        <v>0.89685982451254065</v>
      </c>
      <c r="F263" s="3">
        <f t="shared" si="70"/>
        <v>-50.676154324974164</v>
      </c>
      <c r="G263" s="3"/>
      <c r="H263" s="2"/>
      <c r="I263">
        <f t="shared" si="71"/>
        <v>0.95524348621912003</v>
      </c>
      <c r="J263" s="3">
        <f t="shared" si="72"/>
        <v>10.913180292585594</v>
      </c>
      <c r="K263" s="2"/>
      <c r="L263">
        <f t="shared" si="73"/>
        <v>0.95147439564296599</v>
      </c>
      <c r="M263" s="3">
        <f t="shared" si="74"/>
        <v>10.782588290379977</v>
      </c>
      <c r="N263" s="2"/>
      <c r="O263">
        <f t="shared" si="75"/>
        <v>0.93920066588288442</v>
      </c>
      <c r="P263" s="4">
        <f t="shared" si="76"/>
        <v>4.9435471617804296</v>
      </c>
      <c r="Q263" s="4"/>
    </row>
    <row r="264" spans="5:17" x14ac:dyDescent="0.3">
      <c r="E264">
        <f t="shared" si="69"/>
        <v>0.89685982451254065</v>
      </c>
      <c r="F264" s="3">
        <f t="shared" si="70"/>
        <v>-147.67615432497416</v>
      </c>
      <c r="G264" s="3"/>
      <c r="H264" s="2"/>
      <c r="I264">
        <f t="shared" si="71"/>
        <v>0.95524348621912003</v>
      </c>
      <c r="J264" s="3">
        <f t="shared" si="72"/>
        <v>-86.086819707414406</v>
      </c>
      <c r="K264" s="2"/>
      <c r="L264">
        <f t="shared" si="73"/>
        <v>0.95147439564296599</v>
      </c>
      <c r="M264" s="3">
        <f t="shared" si="74"/>
        <v>-86.217411709620023</v>
      </c>
      <c r="N264" s="2"/>
      <c r="O264">
        <f t="shared" si="75"/>
        <v>0.93920066588288442</v>
      </c>
      <c r="P264" s="4">
        <f t="shared" si="76"/>
        <v>-92.05645283821957</v>
      </c>
      <c r="Q264" s="4"/>
    </row>
    <row r="265" spans="5:17" x14ac:dyDescent="0.3">
      <c r="E265">
        <f t="shared" si="69"/>
        <v>0.89685982451254065</v>
      </c>
      <c r="F265" s="3">
        <f t="shared" si="70"/>
        <v>-124.67615432497416</v>
      </c>
      <c r="G265" s="3"/>
      <c r="H265" s="2"/>
      <c r="I265">
        <f t="shared" si="71"/>
        <v>0.95524348621912003</v>
      </c>
      <c r="J265" s="3">
        <f t="shared" si="72"/>
        <v>-63.086819707414406</v>
      </c>
      <c r="K265" s="2"/>
      <c r="L265">
        <f t="shared" si="73"/>
        <v>0.95147439564296599</v>
      </c>
      <c r="M265" s="3">
        <f t="shared" si="74"/>
        <v>-63.217411709620023</v>
      </c>
      <c r="N265" s="2"/>
      <c r="O265">
        <f t="shared" si="75"/>
        <v>0.93920066588288442</v>
      </c>
      <c r="P265" s="4">
        <f t="shared" si="76"/>
        <v>-69.05645283821957</v>
      </c>
      <c r="Q265" s="4"/>
    </row>
    <row r="266" spans="5:17" x14ac:dyDescent="0.3">
      <c r="E266">
        <f t="shared" si="69"/>
        <v>0.89685982451254065</v>
      </c>
      <c r="F266" s="3">
        <f t="shared" si="70"/>
        <v>-127.67615432497416</v>
      </c>
      <c r="G266" s="3"/>
      <c r="H266" s="2"/>
      <c r="I266">
        <f t="shared" si="71"/>
        <v>0.95524348621912003</v>
      </c>
      <c r="J266" s="3">
        <f t="shared" si="72"/>
        <v>-66.086819707414406</v>
      </c>
      <c r="K266" s="2"/>
      <c r="L266">
        <f t="shared" si="73"/>
        <v>0.95147439564296599</v>
      </c>
      <c r="M266" s="3">
        <f t="shared" si="74"/>
        <v>-66.217411709620023</v>
      </c>
      <c r="N266" s="2"/>
      <c r="O266">
        <f t="shared" si="75"/>
        <v>0.93920066588288442</v>
      </c>
      <c r="P266" s="4">
        <f t="shared" si="76"/>
        <v>-72.05645283821957</v>
      </c>
      <c r="Q266" s="4"/>
    </row>
    <row r="267" spans="5:17" x14ac:dyDescent="0.3">
      <c r="E267">
        <f t="shared" si="69"/>
        <v>1.7937196490250813</v>
      </c>
      <c r="F267" s="3">
        <f t="shared" si="70"/>
        <v>-12.061694617565902</v>
      </c>
      <c r="G267" s="3"/>
      <c r="H267" s="2"/>
      <c r="I267">
        <f t="shared" si="71"/>
        <v>1.9104869724382401</v>
      </c>
      <c r="J267" s="3">
        <f t="shared" si="72"/>
        <v>-1.7635215682799625</v>
      </c>
      <c r="K267" s="2"/>
      <c r="L267">
        <f t="shared" si="73"/>
        <v>1.902948791285932</v>
      </c>
      <c r="M267" s="3">
        <f t="shared" si="74"/>
        <v>-1.4770731403153725</v>
      </c>
      <c r="N267" s="2"/>
      <c r="O267">
        <f t="shared" si="75"/>
        <v>1.8784013317657688</v>
      </c>
      <c r="P267" s="4">
        <f t="shared" si="76"/>
        <v>-4.4350674053131218</v>
      </c>
      <c r="Q267" s="4"/>
    </row>
    <row r="268" spans="5:17" x14ac:dyDescent="0.3">
      <c r="E268">
        <f t="shared" si="69"/>
        <v>1.7937196490250813</v>
      </c>
      <c r="F268" s="3">
        <f t="shared" si="70"/>
        <v>68.938305382434095</v>
      </c>
      <c r="G268" s="3"/>
      <c r="H268" s="2"/>
      <c r="I268">
        <f t="shared" si="71"/>
        <v>1.9104869724382401</v>
      </c>
      <c r="J268" s="3">
        <f t="shared" si="72"/>
        <v>79.23647843172003</v>
      </c>
      <c r="K268" s="2"/>
      <c r="L268">
        <f t="shared" si="73"/>
        <v>1.902948791285932</v>
      </c>
      <c r="M268" s="3">
        <f t="shared" si="74"/>
        <v>79.522926859684631</v>
      </c>
      <c r="N268" s="2"/>
      <c r="O268">
        <f t="shared" si="75"/>
        <v>1.8784013317657688</v>
      </c>
      <c r="P268" s="4">
        <f t="shared" si="76"/>
        <v>76.56493259468688</v>
      </c>
      <c r="Q268" s="4"/>
    </row>
    <row r="269" spans="5:17" x14ac:dyDescent="0.3">
      <c r="E269">
        <f t="shared" si="69"/>
        <v>1.7937196490250813</v>
      </c>
      <c r="F269" s="3">
        <f t="shared" si="70"/>
        <v>-13.061694617565902</v>
      </c>
      <c r="G269" s="3"/>
      <c r="H269" s="2"/>
      <c r="I269">
        <f t="shared" si="71"/>
        <v>1.9104869724382401</v>
      </c>
      <c r="J269" s="3">
        <f t="shared" si="72"/>
        <v>-2.7635215682799625</v>
      </c>
      <c r="K269" s="2"/>
      <c r="L269">
        <f t="shared" si="73"/>
        <v>1.902948791285932</v>
      </c>
      <c r="M269" s="3">
        <f t="shared" si="74"/>
        <v>-2.4770731403153725</v>
      </c>
      <c r="N269" s="2"/>
      <c r="O269">
        <f t="shared" si="75"/>
        <v>1.8784013317657688</v>
      </c>
      <c r="P269" s="4">
        <f t="shared" si="76"/>
        <v>-5.4350674053131218</v>
      </c>
      <c r="Q269" s="4"/>
    </row>
    <row r="270" spans="5:17" x14ac:dyDescent="0.3">
      <c r="E270">
        <f t="shared" si="69"/>
        <v>1.7937196490250813</v>
      </c>
      <c r="F270" s="3">
        <f t="shared" si="70"/>
        <v>5.9383053824340983</v>
      </c>
      <c r="G270" s="3"/>
      <c r="H270" s="2"/>
      <c r="I270">
        <f t="shared" si="71"/>
        <v>1.9104869724382401</v>
      </c>
      <c r="J270" s="3">
        <f t="shared" si="72"/>
        <v>16.236478431720037</v>
      </c>
      <c r="K270" s="2"/>
      <c r="L270">
        <f t="shared" si="73"/>
        <v>1.902948791285932</v>
      </c>
      <c r="M270" s="3">
        <f t="shared" si="74"/>
        <v>16.522926859684627</v>
      </c>
      <c r="N270" s="2"/>
      <c r="O270">
        <f t="shared" si="75"/>
        <v>1.8784013317657688</v>
      </c>
      <c r="P270" s="4">
        <f t="shared" si="76"/>
        <v>13.564932594686878</v>
      </c>
      <c r="Q270" s="4"/>
    </row>
    <row r="271" spans="5:17" x14ac:dyDescent="0.3">
      <c r="E271">
        <f t="shared" si="69"/>
        <v>1.7937196490250813</v>
      </c>
      <c r="F271" s="3">
        <f t="shared" si="70"/>
        <v>38.938305382434095</v>
      </c>
      <c r="G271" s="3"/>
      <c r="H271" s="2"/>
      <c r="I271">
        <f t="shared" si="71"/>
        <v>1.9104869724382401</v>
      </c>
      <c r="J271" s="3">
        <f t="shared" si="72"/>
        <v>49.236478431720037</v>
      </c>
      <c r="K271" s="2"/>
      <c r="L271">
        <f t="shared" si="73"/>
        <v>1.902948791285932</v>
      </c>
      <c r="M271" s="3">
        <f t="shared" si="74"/>
        <v>49.522926859684631</v>
      </c>
      <c r="N271" s="2"/>
      <c r="O271">
        <f t="shared" si="75"/>
        <v>1.8784013317657688</v>
      </c>
      <c r="P271" s="4">
        <f t="shared" si="76"/>
        <v>46.56493259468688</v>
      </c>
      <c r="Q271" s="4"/>
    </row>
    <row r="272" spans="5:17" x14ac:dyDescent="0.3">
      <c r="E272">
        <f t="shared" si="69"/>
        <v>3.5874392980501626</v>
      </c>
      <c r="F272" s="3">
        <f t="shared" si="70"/>
        <v>-0.17843366263878022</v>
      </c>
      <c r="G272" s="3"/>
      <c r="H272" s="2"/>
      <c r="I272">
        <f t="shared" si="71"/>
        <v>3.8209739448764801</v>
      </c>
      <c r="J272" s="3">
        <f t="shared" si="72"/>
        <v>-2.9465599339675984E-2</v>
      </c>
      <c r="K272" s="2"/>
      <c r="L272">
        <f t="shared" si="73"/>
        <v>3.8058975825718639</v>
      </c>
      <c r="M272" s="3">
        <f t="shared" si="74"/>
        <v>-2.639333256908459E-2</v>
      </c>
      <c r="N272" s="2"/>
      <c r="O272">
        <f t="shared" si="75"/>
        <v>3.7568026635315377</v>
      </c>
      <c r="P272" s="4">
        <f t="shared" si="76"/>
        <v>-6.3917294188478593E-2</v>
      </c>
      <c r="Q272" s="4"/>
    </row>
    <row r="273" spans="5:17" x14ac:dyDescent="0.3">
      <c r="E273">
        <f t="shared" si="69"/>
        <v>3.5874392980501626</v>
      </c>
      <c r="F273" s="3">
        <f t="shared" si="70"/>
        <v>-0.17843366263878022</v>
      </c>
      <c r="G273" s="3"/>
      <c r="H273" s="2"/>
      <c r="I273">
        <f t="shared" si="71"/>
        <v>3.8209739448764801</v>
      </c>
      <c r="J273" s="3">
        <f t="shared" si="72"/>
        <v>-2.9465599339675984E-2</v>
      </c>
      <c r="K273" s="2"/>
      <c r="L273">
        <f t="shared" si="73"/>
        <v>3.8058975825718639</v>
      </c>
      <c r="M273" s="3">
        <f t="shared" si="74"/>
        <v>-2.639333256908459E-2</v>
      </c>
      <c r="N273" s="2"/>
      <c r="O273">
        <f t="shared" si="75"/>
        <v>3.7568026635315377</v>
      </c>
      <c r="P273" s="4">
        <f t="shared" si="76"/>
        <v>-6.3917294188478593E-2</v>
      </c>
      <c r="Q273" s="4"/>
    </row>
    <row r="274" spans="5:17" x14ac:dyDescent="0.3">
      <c r="E274">
        <f t="shared" si="69"/>
        <v>3.5874392980501626</v>
      </c>
      <c r="F274" s="3">
        <f t="shared" si="70"/>
        <v>64.821566337361219</v>
      </c>
      <c r="G274" s="3"/>
      <c r="H274" s="2"/>
      <c r="I274">
        <f t="shared" si="71"/>
        <v>3.8209739448764801</v>
      </c>
      <c r="J274" s="3">
        <f t="shared" si="72"/>
        <v>64.970534400660327</v>
      </c>
      <c r="K274" s="2"/>
      <c r="L274">
        <f t="shared" si="73"/>
        <v>3.8058975825718639</v>
      </c>
      <c r="M274" s="3">
        <f t="shared" si="74"/>
        <v>64.973606667430914</v>
      </c>
      <c r="N274" s="2"/>
      <c r="O274">
        <f t="shared" si="75"/>
        <v>3.7568026635315377</v>
      </c>
      <c r="P274" s="4">
        <f t="shared" si="76"/>
        <v>64.936082705811515</v>
      </c>
      <c r="Q274" s="4"/>
    </row>
    <row r="275" spans="5:17" x14ac:dyDescent="0.3">
      <c r="E275">
        <f t="shared" si="69"/>
        <v>3.5874392980501626</v>
      </c>
      <c r="F275" s="3">
        <f t="shared" si="70"/>
        <v>-0.17843366263878022</v>
      </c>
      <c r="G275" s="3"/>
      <c r="H275" s="2"/>
      <c r="I275">
        <f t="shared" si="71"/>
        <v>3.8209739448764801</v>
      </c>
      <c r="J275" s="3">
        <f t="shared" si="72"/>
        <v>-2.9465599339675984E-2</v>
      </c>
      <c r="K275" s="2"/>
      <c r="L275">
        <f t="shared" si="73"/>
        <v>3.8058975825718639</v>
      </c>
      <c r="M275" s="3">
        <f t="shared" si="74"/>
        <v>-2.639333256908459E-2</v>
      </c>
      <c r="N275" s="2"/>
      <c r="O275">
        <f t="shared" si="75"/>
        <v>3.7568026635315377</v>
      </c>
      <c r="P275" s="4">
        <f t="shared" si="76"/>
        <v>-6.3917294188478593E-2</v>
      </c>
      <c r="Q275" s="4"/>
    </row>
    <row r="276" spans="5:17" x14ac:dyDescent="0.3">
      <c r="E276">
        <f t="shared" si="69"/>
        <v>3.5874392980501626</v>
      </c>
      <c r="F276" s="3">
        <f t="shared" si="70"/>
        <v>-0.17843366263878022</v>
      </c>
      <c r="G276" s="3"/>
      <c r="H276" s="2"/>
      <c r="I276">
        <f t="shared" si="71"/>
        <v>3.8209739448764801</v>
      </c>
      <c r="J276" s="3">
        <f t="shared" si="72"/>
        <v>-2.9465599339675984E-2</v>
      </c>
      <c r="K276" s="2"/>
      <c r="L276">
        <f t="shared" si="73"/>
        <v>3.8058975825718639</v>
      </c>
      <c r="M276" s="3">
        <f t="shared" si="74"/>
        <v>-2.639333256908459E-2</v>
      </c>
      <c r="N276" s="2"/>
      <c r="O276">
        <f t="shared" si="75"/>
        <v>3.7568026635315377</v>
      </c>
      <c r="P276" s="4">
        <f t="shared" si="76"/>
        <v>-6.3917294188478593E-2</v>
      </c>
      <c r="Q276" s="4"/>
    </row>
    <row r="277" spans="5:17" x14ac:dyDescent="0.3">
      <c r="E277">
        <f t="shared" si="69"/>
        <v>0.15115467990075254</v>
      </c>
      <c r="F277" s="3">
        <f t="shared" si="70"/>
        <v>14.933904829557378</v>
      </c>
      <c r="G277" s="3"/>
      <c r="H277" s="2"/>
      <c r="I277">
        <f t="shared" si="71"/>
        <v>0.16095499840416327</v>
      </c>
      <c r="J277" s="3">
        <f t="shared" si="72"/>
        <v>21.543741354388771</v>
      </c>
      <c r="K277" s="2"/>
      <c r="L277">
        <f t="shared" si="73"/>
        <v>0.16118690888504961</v>
      </c>
      <c r="M277" s="3">
        <f t="shared" si="74"/>
        <v>27.061098198710624</v>
      </c>
      <c r="N277" s="2"/>
      <c r="O277">
        <f t="shared" si="75"/>
        <v>0.15756000749918117</v>
      </c>
      <c r="P277" s="4">
        <f t="shared" si="76"/>
        <v>16.80487852934391</v>
      </c>
      <c r="Q277" s="4"/>
    </row>
    <row r="278" spans="5:17" x14ac:dyDescent="0.3">
      <c r="E278">
        <f t="shared" si="69"/>
        <v>0.15115467990075254</v>
      </c>
      <c r="F278" s="3">
        <f t="shared" si="70"/>
        <v>-31.066095170442622</v>
      </c>
      <c r="G278" s="3"/>
      <c r="H278" s="2"/>
      <c r="I278">
        <f t="shared" si="71"/>
        <v>0.16095499840416327</v>
      </c>
      <c r="J278" s="3">
        <f t="shared" si="72"/>
        <v>-24.456258645611229</v>
      </c>
      <c r="K278" s="2"/>
      <c r="L278">
        <f t="shared" si="73"/>
        <v>0.16118690888504961</v>
      </c>
      <c r="M278" s="3">
        <f t="shared" si="74"/>
        <v>-18.938901801289376</v>
      </c>
      <c r="N278" s="2"/>
      <c r="O278">
        <f t="shared" si="75"/>
        <v>0.15756000749918117</v>
      </c>
      <c r="P278" s="4">
        <f t="shared" si="76"/>
        <v>-29.19512147065609</v>
      </c>
      <c r="Q278" s="4"/>
    </row>
    <row r="279" spans="5:17" x14ac:dyDescent="0.3">
      <c r="E279">
        <f t="shared" si="69"/>
        <v>0.15115467990075254</v>
      </c>
      <c r="F279" s="3">
        <f t="shared" si="70"/>
        <v>-35.066095170442622</v>
      </c>
      <c r="G279" s="3"/>
      <c r="H279" s="2"/>
      <c r="I279">
        <f t="shared" si="71"/>
        <v>0.16095499840416327</v>
      </c>
      <c r="J279" s="3">
        <f t="shared" si="72"/>
        <v>-28.456258645611229</v>
      </c>
      <c r="K279" s="2"/>
      <c r="L279">
        <f t="shared" si="73"/>
        <v>0.16118690888504961</v>
      </c>
      <c r="M279" s="3">
        <f t="shared" si="74"/>
        <v>-22.938901801289376</v>
      </c>
      <c r="N279" s="2"/>
      <c r="O279">
        <f t="shared" si="75"/>
        <v>0.15756000749918117</v>
      </c>
      <c r="P279" s="4">
        <f t="shared" si="76"/>
        <v>-33.19512147065609</v>
      </c>
      <c r="Q279" s="4"/>
    </row>
    <row r="280" spans="5:17" x14ac:dyDescent="0.3">
      <c r="E280">
        <f t="shared" si="69"/>
        <v>0.15115467990075254</v>
      </c>
      <c r="F280" s="3">
        <f t="shared" si="70"/>
        <v>95.933904829557378</v>
      </c>
      <c r="G280" s="3"/>
      <c r="H280" s="2"/>
      <c r="I280">
        <f t="shared" si="71"/>
        <v>0.16095499840416327</v>
      </c>
      <c r="J280" s="3">
        <f t="shared" si="72"/>
        <v>102.54374135438877</v>
      </c>
      <c r="K280" s="2"/>
      <c r="L280">
        <f t="shared" si="73"/>
        <v>0.16118690888504961</v>
      </c>
      <c r="M280" s="3">
        <f t="shared" si="74"/>
        <v>108.06109819871062</v>
      </c>
      <c r="N280" s="2"/>
      <c r="O280">
        <f t="shared" si="75"/>
        <v>0.15756000749918117</v>
      </c>
      <c r="P280" s="4">
        <f t="shared" si="76"/>
        <v>97.80487852934391</v>
      </c>
      <c r="Q280" s="4"/>
    </row>
    <row r="281" spans="5:17" x14ac:dyDescent="0.3">
      <c r="E281">
        <f t="shared" si="69"/>
        <v>0.15115467990075254</v>
      </c>
      <c r="F281" s="3">
        <f t="shared" si="70"/>
        <v>-72.066095170442622</v>
      </c>
      <c r="G281" s="3"/>
      <c r="H281" s="2"/>
      <c r="I281">
        <f t="shared" si="71"/>
        <v>0.16095499840416327</v>
      </c>
      <c r="J281" s="3">
        <f t="shared" si="72"/>
        <v>-65.456258645611229</v>
      </c>
      <c r="K281" s="2"/>
      <c r="L281">
        <f t="shared" si="73"/>
        <v>0.16118690888504961</v>
      </c>
      <c r="M281" s="3">
        <f t="shared" si="74"/>
        <v>-59.938901801289376</v>
      </c>
      <c r="N281" s="2"/>
      <c r="O281">
        <f t="shared" si="75"/>
        <v>0.15756000749918117</v>
      </c>
      <c r="P281" s="4">
        <f t="shared" si="76"/>
        <v>-70.19512147065609</v>
      </c>
      <c r="Q281" s="4"/>
    </row>
    <row r="282" spans="5:17" x14ac:dyDescent="0.3">
      <c r="E282">
        <f t="shared" si="69"/>
        <v>0.30230935980150508</v>
      </c>
      <c r="F282" s="3">
        <f t="shared" si="70"/>
        <v>-5.6075735111606946</v>
      </c>
      <c r="G282" s="3"/>
      <c r="H282" s="2"/>
      <c r="I282">
        <f t="shared" si="71"/>
        <v>0.32190999680832655</v>
      </c>
      <c r="J282" s="3">
        <f t="shared" si="72"/>
        <v>-1.9376065362534973</v>
      </c>
      <c r="K282" s="2"/>
      <c r="L282">
        <f t="shared" si="73"/>
        <v>0.32237381777009921</v>
      </c>
      <c r="M282" s="3">
        <f t="shared" si="74"/>
        <v>6.4520448679293168</v>
      </c>
      <c r="N282" s="2"/>
      <c r="O282">
        <f t="shared" si="75"/>
        <v>0.31512001499836234</v>
      </c>
      <c r="P282" s="4">
        <f t="shared" si="76"/>
        <v>-8.7296544410905881</v>
      </c>
      <c r="Q282" s="4"/>
    </row>
    <row r="283" spans="5:17" x14ac:dyDescent="0.3">
      <c r="E283">
        <f t="shared" si="69"/>
        <v>0.30230935980150508</v>
      </c>
      <c r="F283" s="3">
        <f t="shared" si="70"/>
        <v>-47.607573511160695</v>
      </c>
      <c r="G283" s="3"/>
      <c r="H283" s="2"/>
      <c r="I283">
        <f t="shared" si="71"/>
        <v>0.32190999680832655</v>
      </c>
      <c r="J283" s="3">
        <f t="shared" si="72"/>
        <v>-43.937606536253497</v>
      </c>
      <c r="K283" s="2"/>
      <c r="L283">
        <f t="shared" si="73"/>
        <v>0.32237381777009921</v>
      </c>
      <c r="M283" s="3">
        <f t="shared" si="74"/>
        <v>-35.547955132070683</v>
      </c>
      <c r="N283" s="2"/>
      <c r="O283">
        <f t="shared" si="75"/>
        <v>0.31512001499836234</v>
      </c>
      <c r="P283" s="4">
        <f t="shared" si="76"/>
        <v>-50.729654441090588</v>
      </c>
      <c r="Q283" s="4"/>
    </row>
    <row r="284" spans="5:17" x14ac:dyDescent="0.3">
      <c r="E284">
        <f t="shared" si="69"/>
        <v>0.30230935980150508</v>
      </c>
      <c r="F284" s="3">
        <f t="shared" si="70"/>
        <v>-122.60757351116069</v>
      </c>
      <c r="G284" s="3"/>
      <c r="H284" s="2"/>
      <c r="I284">
        <f t="shared" si="71"/>
        <v>0.32190999680832655</v>
      </c>
      <c r="J284" s="3">
        <f t="shared" si="72"/>
        <v>-118.9376065362535</v>
      </c>
      <c r="K284" s="2"/>
      <c r="L284">
        <f t="shared" si="73"/>
        <v>0.32237381777009921</v>
      </c>
      <c r="M284" s="3">
        <f t="shared" si="74"/>
        <v>-110.54795513207068</v>
      </c>
      <c r="N284" s="2"/>
      <c r="O284">
        <f t="shared" si="75"/>
        <v>0.31512001499836234</v>
      </c>
      <c r="P284" s="4">
        <f t="shared" si="76"/>
        <v>-125.72965444109059</v>
      </c>
    </row>
    <row r="285" spans="5:17" x14ac:dyDescent="0.3">
      <c r="E285">
        <f t="shared" si="69"/>
        <v>0.30230935980150508</v>
      </c>
      <c r="F285" s="3">
        <f t="shared" si="70"/>
        <v>16.392426488839305</v>
      </c>
      <c r="G285" s="3"/>
      <c r="H285" s="2"/>
      <c r="I285">
        <f t="shared" si="71"/>
        <v>0.32190999680832655</v>
      </c>
      <c r="J285" s="3">
        <f t="shared" si="72"/>
        <v>20.062393463746503</v>
      </c>
      <c r="K285" s="2"/>
      <c r="L285">
        <f t="shared" si="73"/>
        <v>0.32237381777009921</v>
      </c>
      <c r="M285" s="3">
        <f t="shared" si="74"/>
        <v>28.452044867929317</v>
      </c>
      <c r="N285" s="2"/>
      <c r="O285">
        <f t="shared" si="75"/>
        <v>0.31512001499836234</v>
      </c>
      <c r="P285" s="4">
        <f t="shared" si="76"/>
        <v>13.270345558909412</v>
      </c>
    </row>
    <row r="286" spans="5:17" x14ac:dyDescent="0.3">
      <c r="E286">
        <f t="shared" si="69"/>
        <v>0.30230935980150508</v>
      </c>
      <c r="F286" s="3">
        <f t="shared" si="70"/>
        <v>114.39242648883931</v>
      </c>
      <c r="G286" s="3"/>
      <c r="H286" s="2"/>
      <c r="I286">
        <f t="shared" si="71"/>
        <v>0.32190999680832655</v>
      </c>
      <c r="J286" s="3">
        <f t="shared" si="72"/>
        <v>118.0623934637465</v>
      </c>
      <c r="K286" s="2"/>
      <c r="L286">
        <f t="shared" si="73"/>
        <v>0.32237381777009921</v>
      </c>
      <c r="M286" s="3">
        <f t="shared" si="74"/>
        <v>126.45204486792932</v>
      </c>
      <c r="N286" s="2"/>
      <c r="O286">
        <f t="shared" si="75"/>
        <v>0.31512001499836234</v>
      </c>
      <c r="P286" s="4">
        <f t="shared" si="76"/>
        <v>111.27034555890941</v>
      </c>
    </row>
    <row r="287" spans="5:17" x14ac:dyDescent="0.3">
      <c r="E287">
        <f t="shared" si="69"/>
        <v>0.60461871960301017</v>
      </c>
      <c r="F287" s="3">
        <f t="shared" si="70"/>
        <v>20.283483153928842</v>
      </c>
      <c r="G287" s="3"/>
      <c r="H287" s="2"/>
      <c r="I287">
        <f t="shared" si="71"/>
        <v>0.6438199936166531</v>
      </c>
      <c r="J287" s="3">
        <f t="shared" si="72"/>
        <v>8.2689900303698778</v>
      </c>
      <c r="K287" s="2"/>
      <c r="L287">
        <f t="shared" si="73"/>
        <v>0.64474763554019843</v>
      </c>
      <c r="M287" s="3">
        <f t="shared" si="74"/>
        <v>20.699476537601754</v>
      </c>
      <c r="N287" s="2"/>
      <c r="O287">
        <f t="shared" si="75"/>
        <v>0.63024002999672468</v>
      </c>
      <c r="P287" s="4">
        <f t="shared" si="76"/>
        <v>1.3326687446331107</v>
      </c>
    </row>
    <row r="288" spans="5:17" x14ac:dyDescent="0.3">
      <c r="E288">
        <f t="shared" si="69"/>
        <v>0.60461871960301017</v>
      </c>
      <c r="F288" s="3">
        <f t="shared" si="70"/>
        <v>-59.716516846071158</v>
      </c>
      <c r="G288" s="3"/>
      <c r="H288" s="2"/>
      <c r="I288">
        <f t="shared" si="71"/>
        <v>0.6438199936166531</v>
      </c>
      <c r="J288" s="3">
        <f t="shared" si="72"/>
        <v>-71.731009969630122</v>
      </c>
      <c r="K288" s="2"/>
      <c r="L288">
        <f t="shared" si="73"/>
        <v>0.64474763554019843</v>
      </c>
      <c r="M288" s="3">
        <f t="shared" si="74"/>
        <v>-59.300523462398246</v>
      </c>
      <c r="N288" s="2"/>
      <c r="O288">
        <f t="shared" si="75"/>
        <v>0.63024002999672468</v>
      </c>
      <c r="P288" s="4">
        <f t="shared" si="76"/>
        <v>-78.667331255366889</v>
      </c>
    </row>
    <row r="289" spans="5:16" x14ac:dyDescent="0.3">
      <c r="E289">
        <f t="shared" si="69"/>
        <v>0.60461871960301017</v>
      </c>
      <c r="F289" s="3">
        <f t="shared" si="70"/>
        <v>29.283483153928842</v>
      </c>
      <c r="G289" s="3"/>
      <c r="H289" s="2"/>
      <c r="I289">
        <f t="shared" si="71"/>
        <v>0.6438199936166531</v>
      </c>
      <c r="J289" s="3">
        <f t="shared" si="72"/>
        <v>17.268990030369878</v>
      </c>
      <c r="K289" s="2"/>
      <c r="L289">
        <f t="shared" si="73"/>
        <v>0.64474763554019843</v>
      </c>
      <c r="M289" s="3">
        <f t="shared" si="74"/>
        <v>29.699476537601754</v>
      </c>
      <c r="N289" s="2"/>
      <c r="O289">
        <f t="shared" si="75"/>
        <v>0.63024002999672468</v>
      </c>
      <c r="P289" s="4">
        <f t="shared" si="76"/>
        <v>10.332668744633111</v>
      </c>
    </row>
    <row r="290" spans="5:16" x14ac:dyDescent="0.3">
      <c r="E290">
        <f t="shared" si="69"/>
        <v>0.60461871960301017</v>
      </c>
      <c r="F290" s="3">
        <f t="shared" si="70"/>
        <v>0.2834831539288416</v>
      </c>
      <c r="G290" s="3"/>
      <c r="H290" s="2"/>
      <c r="I290">
        <f t="shared" si="71"/>
        <v>0.6438199936166531</v>
      </c>
      <c r="J290" s="3">
        <f t="shared" si="72"/>
        <v>-11.731009969630122</v>
      </c>
      <c r="K290" s="2"/>
      <c r="L290">
        <f t="shared" si="73"/>
        <v>0.64474763554019843</v>
      </c>
      <c r="M290" s="3">
        <f t="shared" si="74"/>
        <v>0.69947653760175399</v>
      </c>
      <c r="N290" s="2"/>
      <c r="O290">
        <f t="shared" si="75"/>
        <v>0.63024002999672468</v>
      </c>
      <c r="P290" s="4">
        <f t="shared" si="76"/>
        <v>-18.667331255366889</v>
      </c>
    </row>
    <row r="291" spans="5:16" x14ac:dyDescent="0.3">
      <c r="E291">
        <f t="shared" ref="E291:E316" si="77">(A199/$E$5)+(B199/$E$6)</f>
        <v>0.60461871960301017</v>
      </c>
      <c r="F291" s="3">
        <f t="shared" ref="F291:F316" si="78">C199-E199</f>
        <v>-108.71651684607116</v>
      </c>
      <c r="G291" s="3"/>
      <c r="H291" s="2"/>
      <c r="I291">
        <f t="shared" ref="I291:I316" si="79">(A199/$I$5)+(B199/$I$6)</f>
        <v>0.6438199936166531</v>
      </c>
      <c r="J291" s="3">
        <f t="shared" ref="J291:J316" si="80">C199-I199</f>
        <v>-120.73100996963012</v>
      </c>
      <c r="K291" s="2"/>
      <c r="L291">
        <f t="shared" ref="L291:L316" si="81">(A199/$L$5)+(B199/$L$6)</f>
        <v>0.64474763554019843</v>
      </c>
      <c r="M291" s="3">
        <f t="shared" ref="M291:M316" si="82">C199-L199</f>
        <v>-108.30052346239825</v>
      </c>
      <c r="N291" s="2"/>
      <c r="O291">
        <f t="shared" ref="O291:O316" si="83">(A199/$O$5)+(B199/$O$6)</f>
        <v>0.63024002999672468</v>
      </c>
      <c r="P291" s="4">
        <f t="shared" ref="P291:P316" si="84">C199-O199</f>
        <v>-127.66733125536689</v>
      </c>
    </row>
    <row r="292" spans="5:16" x14ac:dyDescent="0.3">
      <c r="E292">
        <f t="shared" si="77"/>
        <v>1.2092374392060203</v>
      </c>
      <c r="F292" s="3">
        <f t="shared" si="78"/>
        <v>19.49763111996856</v>
      </c>
      <c r="G292" s="3"/>
      <c r="H292" s="2"/>
      <c r="I292">
        <f t="shared" si="79"/>
        <v>1.2876399872333062</v>
      </c>
      <c r="J292" s="3">
        <f t="shared" si="80"/>
        <v>40.131626706070278</v>
      </c>
      <c r="K292" s="2"/>
      <c r="L292">
        <f t="shared" si="81"/>
        <v>1.2894952710803969</v>
      </c>
      <c r="M292" s="3">
        <f t="shared" si="82"/>
        <v>51.976480248294763</v>
      </c>
      <c r="N292" s="2"/>
      <c r="O292">
        <f t="shared" si="83"/>
        <v>1.2604800599934494</v>
      </c>
      <c r="P292" s="4">
        <f t="shared" si="84"/>
        <v>30.459244847768673</v>
      </c>
    </row>
    <row r="293" spans="5:16" x14ac:dyDescent="0.3">
      <c r="E293">
        <f t="shared" si="77"/>
        <v>1.2092374392060203</v>
      </c>
      <c r="F293" s="3">
        <f t="shared" si="78"/>
        <v>-63.50236888003144</v>
      </c>
      <c r="G293" s="3"/>
      <c r="H293" s="2"/>
      <c r="I293">
        <f t="shared" si="79"/>
        <v>1.2876399872333062</v>
      </c>
      <c r="J293" s="3">
        <f t="shared" si="80"/>
        <v>-42.868373293929722</v>
      </c>
      <c r="K293" s="2"/>
      <c r="L293">
        <f t="shared" si="81"/>
        <v>1.2894952710803969</v>
      </c>
      <c r="M293" s="3">
        <f t="shared" si="82"/>
        <v>-31.023519751705237</v>
      </c>
      <c r="N293" s="2"/>
      <c r="O293">
        <f t="shared" si="83"/>
        <v>1.2604800599934494</v>
      </c>
      <c r="P293" s="4">
        <f t="shared" si="84"/>
        <v>-52.540755152231327</v>
      </c>
    </row>
    <row r="294" spans="5:16" x14ac:dyDescent="0.3">
      <c r="E294">
        <f t="shared" si="77"/>
        <v>1.2092374392060203</v>
      </c>
      <c r="F294" s="3">
        <f t="shared" si="78"/>
        <v>34.49763111996856</v>
      </c>
      <c r="G294" s="3"/>
      <c r="H294" s="2"/>
      <c r="I294">
        <f t="shared" si="79"/>
        <v>1.2876399872333062</v>
      </c>
      <c r="J294" s="3">
        <f t="shared" si="80"/>
        <v>55.131626706070278</v>
      </c>
      <c r="K294" s="2"/>
      <c r="L294">
        <f t="shared" si="81"/>
        <v>1.2894952710803969</v>
      </c>
      <c r="M294" s="3">
        <f t="shared" si="82"/>
        <v>66.976480248294763</v>
      </c>
      <c r="N294" s="2"/>
      <c r="O294">
        <f t="shared" si="83"/>
        <v>1.2604800599934494</v>
      </c>
      <c r="P294" s="4">
        <f t="shared" si="84"/>
        <v>45.459244847768673</v>
      </c>
    </row>
    <row r="295" spans="5:16" x14ac:dyDescent="0.3">
      <c r="E295">
        <f t="shared" si="77"/>
        <v>1.2092374392060203</v>
      </c>
      <c r="F295" s="3">
        <f t="shared" si="78"/>
        <v>44.49763111996856</v>
      </c>
      <c r="G295" s="3"/>
      <c r="H295" s="2"/>
      <c r="I295">
        <f t="shared" si="79"/>
        <v>1.2876399872333062</v>
      </c>
      <c r="J295" s="3">
        <f t="shared" si="80"/>
        <v>65.131626706070278</v>
      </c>
      <c r="K295" s="2"/>
      <c r="L295">
        <f t="shared" si="81"/>
        <v>1.2894952710803969</v>
      </c>
      <c r="M295" s="3">
        <f t="shared" si="82"/>
        <v>76.976480248294763</v>
      </c>
      <c r="N295" s="2"/>
      <c r="O295">
        <f t="shared" si="83"/>
        <v>1.2604800599934494</v>
      </c>
      <c r="P295" s="4">
        <f t="shared" si="84"/>
        <v>55.459244847768673</v>
      </c>
    </row>
    <row r="296" spans="5:16" x14ac:dyDescent="0.3">
      <c r="E296">
        <f t="shared" si="77"/>
        <v>1.2092374392060203</v>
      </c>
      <c r="F296" s="3">
        <f t="shared" si="78"/>
        <v>-98.50236888003144</v>
      </c>
      <c r="G296" s="3"/>
      <c r="H296" s="2"/>
      <c r="I296">
        <f t="shared" si="79"/>
        <v>1.2876399872333062</v>
      </c>
      <c r="J296" s="3">
        <f t="shared" si="80"/>
        <v>-77.868373293929722</v>
      </c>
      <c r="K296" s="2"/>
      <c r="L296">
        <f t="shared" si="81"/>
        <v>1.2894952710803969</v>
      </c>
      <c r="M296" s="3">
        <f t="shared" si="82"/>
        <v>-66.023519751705237</v>
      </c>
      <c r="N296" s="2"/>
      <c r="O296">
        <f t="shared" si="83"/>
        <v>1.2604800599934494</v>
      </c>
      <c r="P296" s="4">
        <f t="shared" si="84"/>
        <v>-87.540755152231327</v>
      </c>
    </row>
    <row r="297" spans="5:16" x14ac:dyDescent="0.3">
      <c r="E297">
        <f t="shared" si="77"/>
        <v>2.4184748784120407</v>
      </c>
      <c r="F297" s="3">
        <f t="shared" si="78"/>
        <v>1.6815245798333156</v>
      </c>
      <c r="G297" s="3"/>
      <c r="H297" s="2"/>
      <c r="I297">
        <f t="shared" si="79"/>
        <v>2.5752799744666124</v>
      </c>
      <c r="J297" s="3">
        <f t="shared" si="80"/>
        <v>2.6745703309098641</v>
      </c>
      <c r="K297" s="2"/>
      <c r="L297">
        <f t="shared" si="81"/>
        <v>2.5789905421607937</v>
      </c>
      <c r="M297" s="3">
        <f t="shared" si="82"/>
        <v>2.951468349602318</v>
      </c>
      <c r="N297" s="2"/>
      <c r="O297">
        <f t="shared" si="83"/>
        <v>2.5209601199868987</v>
      </c>
      <c r="P297" s="4">
        <f t="shared" si="84"/>
        <v>2.2254796115240314</v>
      </c>
    </row>
    <row r="298" spans="5:16" x14ac:dyDescent="0.3">
      <c r="E298">
        <f t="shared" si="77"/>
        <v>2.4184748784120407</v>
      </c>
      <c r="F298" s="3">
        <f t="shared" si="78"/>
        <v>1.6815245798333156</v>
      </c>
      <c r="G298" s="3"/>
      <c r="H298" s="2"/>
      <c r="I298">
        <f t="shared" si="79"/>
        <v>2.5752799744666124</v>
      </c>
      <c r="J298" s="3">
        <f t="shared" si="80"/>
        <v>2.6745703309098641</v>
      </c>
      <c r="K298" s="2"/>
      <c r="L298">
        <f t="shared" si="81"/>
        <v>2.5789905421607937</v>
      </c>
      <c r="M298" s="3">
        <f t="shared" si="82"/>
        <v>2.951468349602318</v>
      </c>
      <c r="N298" s="2"/>
      <c r="O298">
        <f t="shared" si="83"/>
        <v>2.5209601199868987</v>
      </c>
      <c r="P298" s="4">
        <f t="shared" si="84"/>
        <v>2.2254796115240314</v>
      </c>
    </row>
    <row r="299" spans="5:16" x14ac:dyDescent="0.3">
      <c r="E299">
        <f t="shared" si="77"/>
        <v>2.4184748784120407</v>
      </c>
      <c r="F299" s="3">
        <f t="shared" si="78"/>
        <v>5.6815245798333152</v>
      </c>
      <c r="G299" s="3"/>
      <c r="H299" s="2"/>
      <c r="I299">
        <f t="shared" si="79"/>
        <v>2.5752799744666124</v>
      </c>
      <c r="J299" s="3">
        <f t="shared" si="80"/>
        <v>6.6745703309098641</v>
      </c>
      <c r="K299" s="2"/>
      <c r="L299">
        <f t="shared" si="81"/>
        <v>2.5789905421607937</v>
      </c>
      <c r="M299" s="3">
        <f t="shared" si="82"/>
        <v>6.951468349602318</v>
      </c>
      <c r="N299" s="2"/>
      <c r="O299">
        <f t="shared" si="83"/>
        <v>2.5209601199868987</v>
      </c>
      <c r="P299" s="4">
        <f t="shared" si="84"/>
        <v>6.2254796115240314</v>
      </c>
    </row>
    <row r="300" spans="5:16" x14ac:dyDescent="0.3">
      <c r="E300">
        <f t="shared" si="77"/>
        <v>2.4184748784120407</v>
      </c>
      <c r="F300" s="3">
        <f t="shared" si="78"/>
        <v>0.6815245798333156</v>
      </c>
      <c r="G300" s="3"/>
      <c r="H300" s="2"/>
      <c r="I300">
        <f t="shared" si="79"/>
        <v>2.5752799744666124</v>
      </c>
      <c r="J300" s="3">
        <f t="shared" si="80"/>
        <v>1.6745703309098643</v>
      </c>
      <c r="K300" s="2"/>
      <c r="L300">
        <f t="shared" si="81"/>
        <v>2.5789905421607937</v>
      </c>
      <c r="M300" s="3">
        <f t="shared" si="82"/>
        <v>1.9514683496023182</v>
      </c>
      <c r="N300" s="2"/>
      <c r="O300">
        <f t="shared" si="83"/>
        <v>2.5209601199868987</v>
      </c>
      <c r="P300" s="4">
        <f t="shared" si="84"/>
        <v>1.2254796115240314</v>
      </c>
    </row>
    <row r="301" spans="5:16" x14ac:dyDescent="0.3">
      <c r="E301">
        <f t="shared" si="77"/>
        <v>2.4184748784120407</v>
      </c>
      <c r="F301" s="3">
        <f t="shared" si="78"/>
        <v>2.6815245798333156</v>
      </c>
      <c r="G301" s="3"/>
      <c r="H301" s="2"/>
      <c r="I301">
        <f t="shared" si="79"/>
        <v>2.5752799744666124</v>
      </c>
      <c r="J301" s="3">
        <f t="shared" si="80"/>
        <v>3.6745703309098641</v>
      </c>
      <c r="K301" s="2"/>
      <c r="L301">
        <f t="shared" si="81"/>
        <v>2.5789905421607937</v>
      </c>
      <c r="M301" s="3">
        <f t="shared" si="82"/>
        <v>3.951468349602318</v>
      </c>
      <c r="N301" s="2"/>
      <c r="O301">
        <f t="shared" si="83"/>
        <v>2.5209601199868987</v>
      </c>
      <c r="P301" s="4">
        <f t="shared" si="84"/>
        <v>3.2254796115240314</v>
      </c>
    </row>
    <row r="302" spans="5:16" x14ac:dyDescent="0.3">
      <c r="E302">
        <f t="shared" si="77"/>
        <v>0</v>
      </c>
      <c r="F302" s="3">
        <f t="shared" si="78"/>
        <v>0</v>
      </c>
      <c r="G302" s="3"/>
      <c r="H302" s="2"/>
      <c r="I302">
        <f t="shared" si="79"/>
        <v>0</v>
      </c>
      <c r="J302" s="3">
        <f t="shared" si="80"/>
        <v>0</v>
      </c>
      <c r="K302" s="2"/>
      <c r="L302">
        <f t="shared" si="81"/>
        <v>0</v>
      </c>
      <c r="M302" s="3">
        <f t="shared" si="82"/>
        <v>0</v>
      </c>
      <c r="N302" s="2"/>
      <c r="O302">
        <f t="shared" si="83"/>
        <v>0</v>
      </c>
      <c r="P302" s="4">
        <f t="shared" si="84"/>
        <v>0</v>
      </c>
    </row>
    <row r="303" spans="5:16" x14ac:dyDescent="0.3">
      <c r="E303">
        <f t="shared" si="77"/>
        <v>0</v>
      </c>
      <c r="F303" s="3">
        <f t="shared" si="78"/>
        <v>0</v>
      </c>
      <c r="G303" s="3"/>
      <c r="H303" s="2"/>
      <c r="I303">
        <f t="shared" si="79"/>
        <v>0</v>
      </c>
      <c r="J303" s="3">
        <f t="shared" si="80"/>
        <v>0</v>
      </c>
      <c r="K303" s="2"/>
      <c r="L303">
        <f t="shared" si="81"/>
        <v>0</v>
      </c>
      <c r="M303" s="3">
        <f t="shared" si="82"/>
        <v>0</v>
      </c>
      <c r="N303" s="2"/>
      <c r="O303">
        <f t="shared" si="83"/>
        <v>0</v>
      </c>
      <c r="P303" s="4">
        <f t="shared" si="84"/>
        <v>0</v>
      </c>
    </row>
    <row r="304" spans="5:16" x14ac:dyDescent="0.3">
      <c r="E304">
        <f t="shared" si="77"/>
        <v>0</v>
      </c>
      <c r="F304" s="3">
        <f t="shared" si="78"/>
        <v>0</v>
      </c>
      <c r="G304" s="3"/>
      <c r="H304" s="2"/>
      <c r="I304">
        <f t="shared" si="79"/>
        <v>0</v>
      </c>
      <c r="J304" s="3">
        <f t="shared" si="80"/>
        <v>0</v>
      </c>
      <c r="K304" s="2"/>
      <c r="L304">
        <f t="shared" si="81"/>
        <v>0</v>
      </c>
      <c r="M304" s="3">
        <f t="shared" si="82"/>
        <v>0</v>
      </c>
      <c r="N304" s="2"/>
      <c r="O304">
        <f t="shared" si="83"/>
        <v>0</v>
      </c>
      <c r="P304" s="4">
        <f t="shared" si="84"/>
        <v>0</v>
      </c>
    </row>
    <row r="305" spans="5:16" x14ac:dyDescent="0.3">
      <c r="E305">
        <f t="shared" si="77"/>
        <v>0</v>
      </c>
      <c r="F305" s="3">
        <f t="shared" si="78"/>
        <v>0</v>
      </c>
      <c r="G305" s="3"/>
      <c r="H305" s="2"/>
      <c r="I305">
        <f t="shared" si="79"/>
        <v>0</v>
      </c>
      <c r="J305" s="3">
        <f t="shared" si="80"/>
        <v>0</v>
      </c>
      <c r="K305" s="2"/>
      <c r="L305">
        <f t="shared" si="81"/>
        <v>0</v>
      </c>
      <c r="M305" s="3">
        <f t="shared" si="82"/>
        <v>0</v>
      </c>
      <c r="N305" s="2"/>
      <c r="O305">
        <f t="shared" si="83"/>
        <v>0</v>
      </c>
      <c r="P305" s="4">
        <f t="shared" si="84"/>
        <v>0</v>
      </c>
    </row>
    <row r="306" spans="5:16" x14ac:dyDescent="0.3">
      <c r="E306">
        <f t="shared" si="77"/>
        <v>0</v>
      </c>
      <c r="F306" s="3">
        <f t="shared" si="78"/>
        <v>0</v>
      </c>
      <c r="G306" s="3"/>
      <c r="H306" s="2"/>
      <c r="I306">
        <f t="shared" si="79"/>
        <v>0</v>
      </c>
      <c r="J306" s="3">
        <f t="shared" si="80"/>
        <v>0</v>
      </c>
      <c r="K306" s="2"/>
      <c r="L306">
        <f t="shared" si="81"/>
        <v>0</v>
      </c>
      <c r="M306" s="3">
        <f t="shared" si="82"/>
        <v>0</v>
      </c>
      <c r="N306" s="2"/>
      <c r="O306">
        <f t="shared" si="83"/>
        <v>0</v>
      </c>
      <c r="P306" s="4">
        <f t="shared" si="84"/>
        <v>0</v>
      </c>
    </row>
    <row r="307" spans="5:16" x14ac:dyDescent="0.3">
      <c r="E307">
        <f t="shared" si="77"/>
        <v>0</v>
      </c>
      <c r="F307" s="3">
        <f t="shared" si="78"/>
        <v>0</v>
      </c>
      <c r="G307" s="3"/>
      <c r="H307" s="2"/>
      <c r="I307">
        <f t="shared" si="79"/>
        <v>0</v>
      </c>
      <c r="J307" s="3">
        <f t="shared" si="80"/>
        <v>0</v>
      </c>
      <c r="K307" s="2"/>
      <c r="L307">
        <f t="shared" si="81"/>
        <v>0</v>
      </c>
      <c r="M307" s="3">
        <f t="shared" si="82"/>
        <v>0</v>
      </c>
      <c r="N307" s="2"/>
      <c r="O307">
        <f t="shared" si="83"/>
        <v>0</v>
      </c>
      <c r="P307" s="4">
        <f t="shared" si="84"/>
        <v>0</v>
      </c>
    </row>
    <row r="308" spans="5:16" x14ac:dyDescent="0.3">
      <c r="E308">
        <f t="shared" si="77"/>
        <v>0</v>
      </c>
      <c r="F308" s="3">
        <f t="shared" si="78"/>
        <v>0</v>
      </c>
      <c r="G308" s="3"/>
      <c r="H308" s="2"/>
      <c r="I308">
        <f t="shared" si="79"/>
        <v>0</v>
      </c>
      <c r="J308" s="3">
        <f t="shared" si="80"/>
        <v>0</v>
      </c>
      <c r="K308" s="2"/>
      <c r="L308">
        <f t="shared" si="81"/>
        <v>0</v>
      </c>
      <c r="M308" s="3">
        <f t="shared" si="82"/>
        <v>0</v>
      </c>
      <c r="N308" s="2"/>
      <c r="O308">
        <f t="shared" si="83"/>
        <v>0</v>
      </c>
      <c r="P308" s="4">
        <f t="shared" si="84"/>
        <v>0</v>
      </c>
    </row>
    <row r="309" spans="5:16" x14ac:dyDescent="0.3">
      <c r="E309">
        <f t="shared" si="77"/>
        <v>0</v>
      </c>
      <c r="F309" s="3">
        <f t="shared" si="78"/>
        <v>0</v>
      </c>
      <c r="G309" s="3"/>
      <c r="H309" s="2"/>
      <c r="I309">
        <f t="shared" si="79"/>
        <v>0</v>
      </c>
      <c r="J309" s="3">
        <f t="shared" si="80"/>
        <v>0</v>
      </c>
      <c r="K309" s="2"/>
      <c r="L309">
        <f t="shared" si="81"/>
        <v>0</v>
      </c>
      <c r="M309" s="3">
        <f t="shared" si="82"/>
        <v>0</v>
      </c>
      <c r="N309" s="2"/>
      <c r="O309">
        <f t="shared" si="83"/>
        <v>0</v>
      </c>
      <c r="P309" s="4">
        <f t="shared" si="84"/>
        <v>0</v>
      </c>
    </row>
    <row r="310" spans="5:16" x14ac:dyDescent="0.3">
      <c r="E310">
        <f t="shared" si="77"/>
        <v>0</v>
      </c>
      <c r="F310" s="3">
        <f t="shared" si="78"/>
        <v>0</v>
      </c>
      <c r="G310" s="3"/>
      <c r="H310" s="2"/>
      <c r="I310">
        <f t="shared" si="79"/>
        <v>0</v>
      </c>
      <c r="J310" s="3">
        <f t="shared" si="80"/>
        <v>0</v>
      </c>
      <c r="K310" s="2"/>
      <c r="L310">
        <f t="shared" si="81"/>
        <v>0</v>
      </c>
      <c r="M310" s="3">
        <f t="shared" si="82"/>
        <v>0</v>
      </c>
      <c r="N310" s="2"/>
      <c r="O310">
        <f t="shared" si="83"/>
        <v>0</v>
      </c>
      <c r="P310" s="4">
        <f t="shared" si="84"/>
        <v>0</v>
      </c>
    </row>
    <row r="311" spans="5:16" x14ac:dyDescent="0.3">
      <c r="E311">
        <f t="shared" si="77"/>
        <v>0</v>
      </c>
      <c r="F311" s="3">
        <f t="shared" si="78"/>
        <v>0</v>
      </c>
      <c r="G311" s="3"/>
      <c r="H311" s="2"/>
      <c r="I311">
        <f t="shared" si="79"/>
        <v>0</v>
      </c>
      <c r="J311" s="3">
        <f t="shared" si="80"/>
        <v>0</v>
      </c>
      <c r="K311" s="2"/>
      <c r="L311">
        <f t="shared" si="81"/>
        <v>0</v>
      </c>
      <c r="M311" s="3">
        <f t="shared" si="82"/>
        <v>0</v>
      </c>
      <c r="N311" s="2"/>
      <c r="O311">
        <f t="shared" si="83"/>
        <v>0</v>
      </c>
      <c r="P311" s="4">
        <f t="shared" si="84"/>
        <v>0</v>
      </c>
    </row>
    <row r="312" spans="5:16" x14ac:dyDescent="0.3">
      <c r="E312">
        <f t="shared" si="77"/>
        <v>0</v>
      </c>
      <c r="F312" s="3">
        <f t="shared" si="78"/>
        <v>0</v>
      </c>
      <c r="G312" s="3"/>
      <c r="H312" s="2"/>
      <c r="I312">
        <f t="shared" si="79"/>
        <v>0</v>
      </c>
      <c r="J312" s="3">
        <f t="shared" si="80"/>
        <v>0</v>
      </c>
      <c r="K312" s="2"/>
      <c r="L312">
        <f t="shared" si="81"/>
        <v>0</v>
      </c>
      <c r="M312" s="3">
        <f t="shared" si="82"/>
        <v>0</v>
      </c>
      <c r="N312" s="2"/>
      <c r="O312">
        <f t="shared" si="83"/>
        <v>0</v>
      </c>
      <c r="P312" s="4">
        <f t="shared" si="84"/>
        <v>0</v>
      </c>
    </row>
    <row r="313" spans="5:16" x14ac:dyDescent="0.3">
      <c r="E313">
        <f t="shared" si="77"/>
        <v>0</v>
      </c>
      <c r="F313" s="3">
        <f t="shared" si="78"/>
        <v>0</v>
      </c>
      <c r="G313" s="3"/>
      <c r="H313" s="2"/>
      <c r="I313">
        <f t="shared" si="79"/>
        <v>0</v>
      </c>
      <c r="J313" s="3">
        <f t="shared" si="80"/>
        <v>0</v>
      </c>
      <c r="K313" s="2"/>
      <c r="L313">
        <f t="shared" si="81"/>
        <v>0</v>
      </c>
      <c r="M313" s="3">
        <f t="shared" si="82"/>
        <v>0</v>
      </c>
      <c r="N313" s="2"/>
      <c r="O313">
        <f t="shared" si="83"/>
        <v>0</v>
      </c>
      <c r="P313" s="4">
        <f t="shared" si="84"/>
        <v>0</v>
      </c>
    </row>
    <row r="314" spans="5:16" x14ac:dyDescent="0.3">
      <c r="E314">
        <f t="shared" si="77"/>
        <v>0</v>
      </c>
      <c r="F314" s="3">
        <f t="shared" si="78"/>
        <v>0</v>
      </c>
      <c r="G314" s="3"/>
      <c r="H314" s="2"/>
      <c r="I314">
        <f t="shared" si="79"/>
        <v>0</v>
      </c>
      <c r="J314" s="3">
        <f t="shared" si="80"/>
        <v>0</v>
      </c>
      <c r="K314" s="2"/>
      <c r="L314">
        <f t="shared" si="81"/>
        <v>0</v>
      </c>
      <c r="M314" s="3">
        <f t="shared" si="82"/>
        <v>0</v>
      </c>
      <c r="N314" s="2"/>
      <c r="O314">
        <f t="shared" si="83"/>
        <v>0</v>
      </c>
      <c r="P314" s="4">
        <f t="shared" si="84"/>
        <v>0</v>
      </c>
    </row>
    <row r="315" spans="5:16" x14ac:dyDescent="0.3">
      <c r="E315">
        <f t="shared" si="77"/>
        <v>0</v>
      </c>
      <c r="F315" s="3">
        <f t="shared" si="78"/>
        <v>0</v>
      </c>
      <c r="G315" s="3"/>
      <c r="H315" s="2"/>
      <c r="I315">
        <f t="shared" si="79"/>
        <v>0</v>
      </c>
      <c r="J315" s="3">
        <f t="shared" si="80"/>
        <v>0</v>
      </c>
      <c r="K315" s="2"/>
      <c r="L315">
        <f t="shared" si="81"/>
        <v>0</v>
      </c>
      <c r="M315" s="3">
        <f t="shared" si="82"/>
        <v>0</v>
      </c>
      <c r="N315" s="2"/>
      <c r="O315">
        <f t="shared" si="83"/>
        <v>0</v>
      </c>
      <c r="P315" s="4">
        <f t="shared" si="84"/>
        <v>0</v>
      </c>
    </row>
    <row r="316" spans="5:16" x14ac:dyDescent="0.3">
      <c r="E316">
        <f t="shared" si="77"/>
        <v>0</v>
      </c>
      <c r="F316" s="3">
        <f t="shared" si="78"/>
        <v>0</v>
      </c>
      <c r="G316" s="3"/>
      <c r="H316" s="2"/>
      <c r="I316">
        <f t="shared" si="79"/>
        <v>0</v>
      </c>
      <c r="J316" s="3">
        <f t="shared" si="80"/>
        <v>0</v>
      </c>
      <c r="K316" s="2"/>
      <c r="L316">
        <f t="shared" si="81"/>
        <v>0</v>
      </c>
      <c r="M316" s="3">
        <f t="shared" si="82"/>
        <v>0</v>
      </c>
      <c r="N316" s="2"/>
      <c r="O316">
        <f t="shared" si="83"/>
        <v>0</v>
      </c>
      <c r="P316" s="4">
        <f t="shared" si="84"/>
        <v>0</v>
      </c>
    </row>
    <row r="317" spans="5:16" x14ac:dyDescent="0.3">
      <c r="F317" s="3"/>
      <c r="G317" s="3"/>
      <c r="H317" s="2"/>
      <c r="J317" s="3"/>
      <c r="K317" s="2"/>
      <c r="M317" s="3"/>
      <c r="N317" s="2"/>
      <c r="P317" s="4"/>
    </row>
    <row r="318" spans="5:16" x14ac:dyDescent="0.3">
      <c r="F318" s="3"/>
      <c r="G318" s="3"/>
      <c r="H318" s="2"/>
      <c r="J318" s="3"/>
      <c r="K318" s="2"/>
      <c r="M318" s="3"/>
      <c r="N318" s="2"/>
      <c r="P318" s="4"/>
    </row>
    <row r="319" spans="5:16" x14ac:dyDescent="0.3">
      <c r="F319" s="3"/>
      <c r="G319" s="3"/>
      <c r="H319" s="2"/>
      <c r="J319" s="3"/>
      <c r="K319" s="2"/>
      <c r="M319" s="3"/>
      <c r="N319" s="2"/>
      <c r="P319" s="4"/>
    </row>
    <row r="320" spans="5:16" x14ac:dyDescent="0.3">
      <c r="F320" s="3"/>
      <c r="G320" s="3"/>
      <c r="H320" s="2"/>
      <c r="J320" s="3"/>
      <c r="K320" s="2"/>
      <c r="M320" s="3"/>
      <c r="N320" s="2"/>
      <c r="P320" s="4"/>
    </row>
    <row r="321" spans="6:16" x14ac:dyDescent="0.3">
      <c r="F321" s="3"/>
      <c r="G321" s="3"/>
      <c r="H321" s="2"/>
      <c r="J321" s="3"/>
      <c r="K321" s="2"/>
      <c r="M321" s="3"/>
      <c r="N321" s="2"/>
      <c r="P321" s="4"/>
    </row>
    <row r="322" spans="6:16" x14ac:dyDescent="0.3">
      <c r="F322" s="3"/>
      <c r="G322" s="3"/>
      <c r="H322" s="2"/>
      <c r="J322" s="3"/>
      <c r="K322" s="2"/>
      <c r="M322" s="3"/>
      <c r="N322" s="2"/>
      <c r="P322" s="4"/>
    </row>
  </sheetData>
  <protectedRanges>
    <protectedRange sqref="AC1 AE1 AK1 AN1" name="Dose response graph preferences"/>
    <protectedRange sqref="B20:B22" name="Experiment details"/>
    <protectedRange sqref="F2:F6 I7:J7 L8:M8 O8:P8 J2:J6 M2:M7 P2:P7 L7 O7" name="Fitting parameters"/>
    <protectedRange sqref="A24:C24 E210:P224 E115:P134 E70:P89 A210:C224" name="Data entry"/>
    <protectedRange sqref="E12 I12 L12 O12" name="Solver fields"/>
    <protectedRange sqref="A25:C209" name="Data entry_1_1"/>
    <protectedRange sqref="E2:E6 I2:I6 L2:L6 O2:O6" name="Fitting parameters_2"/>
  </protectedRanges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indexed="43"/>
  </sheetPr>
  <dimension ref="A1:AR322"/>
  <sheetViews>
    <sheetView tabSelected="1" zoomScale="90" workbookViewId="0">
      <pane xSplit="15146" topLeftCell="S1"/>
      <selection activeCell="F25" sqref="F25"/>
      <selection pane="topRight" activeCell="V1" sqref="V1"/>
    </sheetView>
  </sheetViews>
  <sheetFormatPr defaultRowHeight="12.45" x14ac:dyDescent="0.3"/>
  <cols>
    <col min="1" max="2" width="9.4609375" bestFit="1" customWidth="1"/>
    <col min="3" max="3" width="9.84375" bestFit="1" customWidth="1"/>
    <col min="4" max="4" width="9.69140625" customWidth="1"/>
    <col min="5" max="5" width="5.84375" customWidth="1"/>
    <col min="6" max="6" width="12.4609375" bestFit="1" customWidth="1"/>
    <col min="7" max="7" width="9.23046875" style="42" hidden="1" customWidth="1"/>
    <col min="8" max="8" width="14.23046875" bestFit="1" customWidth="1"/>
    <col min="9" max="9" width="2.53515625" customWidth="1"/>
    <col min="10" max="11" width="9.53515625" bestFit="1" customWidth="1"/>
    <col min="12" max="12" width="2.23046875" customWidth="1"/>
    <col min="13" max="14" width="9.53515625" bestFit="1" customWidth="1"/>
    <col min="15" max="15" width="2.15234375" customWidth="1"/>
    <col min="16" max="16" width="11.15234375" customWidth="1"/>
    <col min="17" max="17" width="10.69140625" customWidth="1"/>
    <col min="20" max="20" width="9.4609375" bestFit="1" customWidth="1"/>
    <col min="25" max="26" width="9.4609375" bestFit="1" customWidth="1"/>
    <col min="30" max="30" width="9.53515625" bestFit="1" customWidth="1"/>
    <col min="31" max="31" width="12.69140625" bestFit="1" customWidth="1"/>
    <col min="32" max="32" width="9.23046875" bestFit="1" customWidth="1"/>
    <col min="33" max="33" width="2.84375" customWidth="1"/>
    <col min="36" max="36" width="2.84375" customWidth="1"/>
    <col min="37" max="38" width="9.53515625" bestFit="1" customWidth="1"/>
    <col min="39" max="39" width="2.69140625" customWidth="1"/>
    <col min="41" max="41" width="9.23046875" bestFit="1" customWidth="1"/>
    <col min="42" max="42" width="3" customWidth="1"/>
  </cols>
  <sheetData>
    <row r="1" spans="1:44" x14ac:dyDescent="0.3">
      <c r="F1" s="74" t="s">
        <v>3</v>
      </c>
      <c r="G1" s="77"/>
      <c r="H1" s="75"/>
      <c r="I1" s="1"/>
      <c r="J1" s="74" t="s">
        <v>4</v>
      </c>
      <c r="K1" s="75"/>
      <c r="L1" s="1"/>
      <c r="M1" s="74" t="s">
        <v>7</v>
      </c>
      <c r="N1" s="75"/>
      <c r="O1" s="1"/>
      <c r="P1" s="74" t="s">
        <v>8</v>
      </c>
      <c r="Q1" s="16"/>
      <c r="AC1" s="38" t="s">
        <v>24</v>
      </c>
      <c r="AD1" s="39"/>
      <c r="AE1" s="38" t="s">
        <v>55</v>
      </c>
      <c r="AF1" s="40">
        <v>1.3</v>
      </c>
      <c r="AH1" s="1"/>
      <c r="AJ1" s="1" t="s">
        <v>23</v>
      </c>
      <c r="AL1" s="39"/>
      <c r="AN1" s="38" t="s">
        <v>55</v>
      </c>
      <c r="AO1" s="40">
        <v>1.3</v>
      </c>
      <c r="AQ1" s="1"/>
    </row>
    <row r="2" spans="1:44" x14ac:dyDescent="0.3">
      <c r="B2" s="1" t="s">
        <v>22</v>
      </c>
      <c r="F2" s="24">
        <v>0.95559899475100218</v>
      </c>
      <c r="H2" s="25"/>
      <c r="J2" s="24">
        <v>0.95663716192180837</v>
      </c>
      <c r="K2" s="25"/>
      <c r="M2" s="24">
        <v>0.95621645950827827</v>
      </c>
      <c r="N2" s="25"/>
      <c r="P2" s="24">
        <v>0.95654886929596616</v>
      </c>
      <c r="Q2" s="25"/>
      <c r="T2" s="3">
        <f>0</f>
        <v>0</v>
      </c>
      <c r="AD2">
        <f>MAX(AD1,MAX(A25:A225))</f>
        <v>4</v>
      </c>
      <c r="AL2">
        <f>MAX(AL1,MAX(B25:B225))</f>
        <v>1.2</v>
      </c>
    </row>
    <row r="3" spans="1:44" x14ac:dyDescent="0.3">
      <c r="B3" s="21" t="s">
        <v>34</v>
      </c>
      <c r="C3" s="12"/>
      <c r="D3" s="12"/>
      <c r="E3" s="12"/>
      <c r="F3" s="49">
        <v>0.88051085398543127</v>
      </c>
      <c r="G3" s="12"/>
      <c r="H3" s="50"/>
      <c r="I3" s="12"/>
      <c r="J3" s="49">
        <v>0.82478335379444923</v>
      </c>
      <c r="K3" s="50"/>
      <c r="L3" s="12"/>
      <c r="M3" s="49">
        <v>0.79217815646627099</v>
      </c>
      <c r="N3" s="50"/>
      <c r="O3" s="12"/>
      <c r="P3" s="49">
        <v>0.82175019040331831</v>
      </c>
      <c r="Q3" s="50"/>
      <c r="T3" s="3">
        <f>MAX(E25:E225)</f>
        <v>1</v>
      </c>
      <c r="AE3" t="s">
        <v>0</v>
      </c>
      <c r="AL3" t="s">
        <v>0</v>
      </c>
    </row>
    <row r="4" spans="1:44" x14ac:dyDescent="0.3">
      <c r="B4" s="22" t="s">
        <v>35</v>
      </c>
      <c r="C4" s="8"/>
      <c r="D4" s="8"/>
      <c r="E4" s="8"/>
      <c r="F4" s="51">
        <v>2.4977184343352614</v>
      </c>
      <c r="G4" s="8"/>
      <c r="H4" s="52"/>
      <c r="I4" s="8"/>
      <c r="J4" s="51">
        <v>2.4109250139113025</v>
      </c>
      <c r="K4" s="52"/>
      <c r="L4" s="8"/>
      <c r="M4" s="51">
        <v>2.5060080937908951</v>
      </c>
      <c r="N4" s="52"/>
      <c r="O4" s="8"/>
      <c r="P4" s="51">
        <v>2.4098081068602797</v>
      </c>
      <c r="Q4" s="52"/>
      <c r="AD4">
        <v>0</v>
      </c>
      <c r="AE4">
        <f t="shared" ref="AE4:AE16" si="0">$F$2/(1+(AD4/$F$5)^$F$3)</f>
        <v>0.95559899475100218</v>
      </c>
      <c r="AK4">
        <v>0</v>
      </c>
      <c r="AL4">
        <f t="shared" ref="AL4:AL16" si="1">$F$2/(1+(AK4/$F$6)^$F$4)</f>
        <v>0.95559899475100218</v>
      </c>
    </row>
    <row r="5" spans="1:44" x14ac:dyDescent="0.3">
      <c r="B5" s="21" t="s">
        <v>43</v>
      </c>
      <c r="C5" s="12"/>
      <c r="D5" s="12"/>
      <c r="E5" s="12"/>
      <c r="F5" s="49">
        <v>100</v>
      </c>
      <c r="G5" s="12"/>
      <c r="H5" s="50"/>
      <c r="I5" s="12"/>
      <c r="J5" s="49">
        <v>100</v>
      </c>
      <c r="K5" s="50"/>
      <c r="L5" s="12"/>
      <c r="M5" s="49">
        <v>100</v>
      </c>
      <c r="N5" s="50"/>
      <c r="O5" s="12"/>
      <c r="P5" s="49">
        <v>100</v>
      </c>
      <c r="Q5" s="50"/>
      <c r="AD5">
        <f t="shared" ref="AD5:AD14" si="2">AD6/$AF$1</f>
        <v>0.2901526011456228</v>
      </c>
      <c r="AE5">
        <f t="shared" si="0"/>
        <v>0.95005828609153398</v>
      </c>
      <c r="AK5">
        <f t="shared" ref="AK5:AK14" si="3">AK6/$AO$1</f>
        <v>8.7045780343686832E-2</v>
      </c>
      <c r="AL5">
        <f t="shared" si="1"/>
        <v>0.95293795804575521</v>
      </c>
    </row>
    <row r="6" spans="1:44" x14ac:dyDescent="0.3">
      <c r="B6" s="22" t="s">
        <v>42</v>
      </c>
      <c r="C6" s="8"/>
      <c r="D6" s="8"/>
      <c r="E6" s="8"/>
      <c r="F6" s="67">
        <v>0.91682494943805493</v>
      </c>
      <c r="G6" s="68"/>
      <c r="H6" s="69"/>
      <c r="I6" s="8"/>
      <c r="J6" s="67">
        <v>0.89020511957516935</v>
      </c>
      <c r="K6" s="52"/>
      <c r="L6" s="8"/>
      <c r="M6" s="67">
        <v>0.92553989031949246</v>
      </c>
      <c r="N6" s="52"/>
      <c r="O6" s="8"/>
      <c r="P6" s="67">
        <v>0.89257405032265691</v>
      </c>
      <c r="Q6" s="52"/>
      <c r="AD6">
        <f t="shared" si="2"/>
        <v>0.37719838148930962</v>
      </c>
      <c r="AE6">
        <f t="shared" si="0"/>
        <v>0.94862888259355627</v>
      </c>
      <c r="AK6">
        <f t="shared" si="3"/>
        <v>0.11315951444679288</v>
      </c>
      <c r="AL6">
        <f t="shared" si="1"/>
        <v>0.95048769736148875</v>
      </c>
    </row>
    <row r="7" spans="1:44" x14ac:dyDescent="0.3">
      <c r="B7" s="1" t="s">
        <v>5</v>
      </c>
      <c r="H7" s="2"/>
      <c r="I7" s="2"/>
      <c r="J7" s="26">
        <v>3.7074050896861346</v>
      </c>
      <c r="K7" s="27"/>
      <c r="M7" s="26">
        <v>-5.5162840923658569</v>
      </c>
      <c r="N7" s="25"/>
      <c r="P7" s="26">
        <v>4.3004782802036408</v>
      </c>
      <c r="Q7" s="25"/>
      <c r="Y7">
        <v>0</v>
      </c>
      <c r="Z7">
        <v>0</v>
      </c>
      <c r="AD7">
        <f t="shared" si="2"/>
        <v>0.49035789593610252</v>
      </c>
      <c r="AE7">
        <f t="shared" si="0"/>
        <v>0.94683412066304407</v>
      </c>
      <c r="AK7">
        <f t="shared" si="3"/>
        <v>0.14710736878083075</v>
      </c>
      <c r="AL7">
        <f t="shared" si="1"/>
        <v>0.94580444643051853</v>
      </c>
    </row>
    <row r="8" spans="1:44" x14ac:dyDescent="0.3">
      <c r="B8" s="1" t="s">
        <v>6</v>
      </c>
      <c r="M8" s="26">
        <v>167.21189967012683</v>
      </c>
      <c r="N8" s="27"/>
      <c r="P8" s="26">
        <v>0.28200017118222687</v>
      </c>
      <c r="Q8" s="27"/>
      <c r="Y8">
        <f>MAX(MAX(F227:F302), MAX(J227:J302), MAX(M227:M302), MAX(P227:P302))</f>
        <v>1.0210029477582707</v>
      </c>
      <c r="Z8">
        <v>0</v>
      </c>
      <c r="AD8">
        <f t="shared" si="2"/>
        <v>0.63746526471693332</v>
      </c>
      <c r="AE8">
        <f t="shared" si="0"/>
        <v>0.9445825851651275</v>
      </c>
      <c r="AK8">
        <f t="shared" si="3"/>
        <v>0.19123957941507999</v>
      </c>
      <c r="AL8">
        <f t="shared" si="1"/>
        <v>0.93691449683655958</v>
      </c>
    </row>
    <row r="9" spans="1:44" x14ac:dyDescent="0.3">
      <c r="B9" s="1"/>
      <c r="AD9">
        <f t="shared" si="2"/>
        <v>0.82870484413201329</v>
      </c>
      <c r="AE9">
        <f t="shared" si="0"/>
        <v>0.94176112439719672</v>
      </c>
      <c r="AK9">
        <f t="shared" si="3"/>
        <v>0.24861145323960399</v>
      </c>
      <c r="AL9">
        <f t="shared" si="1"/>
        <v>0.92025716015568781</v>
      </c>
    </row>
    <row r="10" spans="1:44" x14ac:dyDescent="0.3">
      <c r="D10" s="35"/>
      <c r="E10" s="60"/>
      <c r="F10" s="35" t="s">
        <v>63</v>
      </c>
      <c r="G10" s="45"/>
      <c r="H10" s="36" t="s">
        <v>10</v>
      </c>
      <c r="J10" s="35"/>
      <c r="K10" s="36"/>
      <c r="M10" s="35"/>
      <c r="N10" s="36"/>
      <c r="P10" s="35"/>
      <c r="Q10" s="36"/>
      <c r="AD10">
        <f t="shared" si="2"/>
        <v>1.0773162973716173</v>
      </c>
      <c r="AE10">
        <f t="shared" si="0"/>
        <v>0.93823033421746826</v>
      </c>
      <c r="AH10" s="3"/>
      <c r="AK10">
        <f t="shared" si="3"/>
        <v>0.3231948892114852</v>
      </c>
      <c r="AL10">
        <f t="shared" si="1"/>
        <v>0.88979274284197685</v>
      </c>
    </row>
    <row r="11" spans="1:44" x14ac:dyDescent="0.3">
      <c r="D11" s="24" t="s">
        <v>58</v>
      </c>
      <c r="F11" s="24">
        <f>F13-F12</f>
        <v>217.03647751361939</v>
      </c>
      <c r="H11" s="25">
        <f>COUNT(F3:F6)</f>
        <v>4</v>
      </c>
      <c r="J11" s="24" t="s">
        <v>66</v>
      </c>
      <c r="K11" s="25"/>
      <c r="M11" s="24" t="s">
        <v>68</v>
      </c>
      <c r="N11" s="25"/>
      <c r="P11" s="24" t="s">
        <v>67</v>
      </c>
      <c r="Q11" s="25"/>
      <c r="AD11">
        <f t="shared" si="2"/>
        <v>1.4005111865831026</v>
      </c>
      <c r="AE11">
        <f t="shared" si="0"/>
        <v>0.93381948268262871</v>
      </c>
      <c r="AK11">
        <f t="shared" si="3"/>
        <v>0.42015335597493081</v>
      </c>
      <c r="AL11">
        <f t="shared" si="1"/>
        <v>0.83646769485063932</v>
      </c>
    </row>
    <row r="12" spans="1:44" s="7" customFormat="1" x14ac:dyDescent="0.3">
      <c r="A12"/>
      <c r="B12"/>
      <c r="D12" s="56" t="s">
        <v>16</v>
      </c>
      <c r="E12"/>
      <c r="F12" s="76">
        <f>-2*SUM(H25:H224)</f>
        <v>184.42401573178228</v>
      </c>
      <c r="G12" s="42"/>
      <c r="H12" s="25">
        <f>H13-H11</f>
        <v>140</v>
      </c>
      <c r="I12"/>
      <c r="J12" s="76">
        <f>-2*SUM(K25:K224)</f>
        <v>183.53940084889524</v>
      </c>
      <c r="K12" s="25"/>
      <c r="L12"/>
      <c r="M12" s="76">
        <f>-2*SUM(N25:N224)</f>
        <v>182.28777786025722</v>
      </c>
      <c r="N12" s="25"/>
      <c r="O12"/>
      <c r="P12" s="76">
        <f>-2*SUM(Q25:Q224)</f>
        <v>183.53555612486031</v>
      </c>
      <c r="Q12" s="25"/>
      <c r="R12"/>
      <c r="AD12">
        <f t="shared" si="2"/>
        <v>1.8206645425580334</v>
      </c>
      <c r="AE12">
        <f t="shared" si="0"/>
        <v>0.92832104226756273</v>
      </c>
      <c r="AF12"/>
      <c r="AG12"/>
      <c r="AK12">
        <f t="shared" si="3"/>
        <v>0.5461993627674101</v>
      </c>
      <c r="AL12">
        <f t="shared" si="1"/>
        <v>0.74991995744439588</v>
      </c>
      <c r="AN12" s="6"/>
      <c r="AO12" s="6"/>
      <c r="AQ12" s="6"/>
      <c r="AR12" s="6"/>
    </row>
    <row r="13" spans="1:44" x14ac:dyDescent="0.3">
      <c r="D13" s="26" t="s">
        <v>53</v>
      </c>
      <c r="E13" s="28"/>
      <c r="F13" s="26">
        <f>-2*SUM(G25:G224)</f>
        <v>401.46049324540166</v>
      </c>
      <c r="G13" s="46"/>
      <c r="H13" s="27">
        <f>D16-1</f>
        <v>144</v>
      </c>
      <c r="J13" s="26"/>
      <c r="K13" s="27"/>
      <c r="M13" s="26"/>
      <c r="N13" s="27"/>
      <c r="P13" s="26"/>
      <c r="Q13" s="27"/>
      <c r="AD13">
        <f t="shared" si="2"/>
        <v>2.3668639053254434</v>
      </c>
      <c r="AE13">
        <f t="shared" si="0"/>
        <v>0.92148517996565482</v>
      </c>
      <c r="AK13">
        <f t="shared" si="3"/>
        <v>0.7100591715976331</v>
      </c>
      <c r="AL13">
        <f t="shared" si="1"/>
        <v>0.6253225399888902</v>
      </c>
    </row>
    <row r="14" spans="1:44" x14ac:dyDescent="0.3">
      <c r="B14" s="80" t="s">
        <v>70</v>
      </c>
      <c r="C14" s="3"/>
      <c r="D14" s="3"/>
      <c r="F14" s="24"/>
      <c r="AD14">
        <f t="shared" si="2"/>
        <v>3.0769230769230766</v>
      </c>
      <c r="AE14">
        <f t="shared" si="0"/>
        <v>0.91301483102051018</v>
      </c>
      <c r="AK14">
        <f t="shared" si="3"/>
        <v>0.92307692307692302</v>
      </c>
      <c r="AL14">
        <f t="shared" si="1"/>
        <v>0.47374438505298982</v>
      </c>
    </row>
    <row r="15" spans="1:44" x14ac:dyDescent="0.3">
      <c r="A15" s="7"/>
      <c r="C15" s="58" t="s">
        <v>15</v>
      </c>
      <c r="D15" s="64"/>
      <c r="E15" s="64"/>
      <c r="F15" s="58" t="s">
        <v>49</v>
      </c>
      <c r="G15" s="65"/>
      <c r="H15" s="66"/>
      <c r="I15" s="7"/>
      <c r="J15" s="58" t="s">
        <v>19</v>
      </c>
      <c r="K15" s="59"/>
      <c r="L15" s="6"/>
      <c r="M15" s="58" t="s">
        <v>13</v>
      </c>
      <c r="N15" s="59" t="s">
        <v>20</v>
      </c>
      <c r="O15" s="6"/>
      <c r="P15" s="58" t="s">
        <v>14</v>
      </c>
      <c r="Q15" s="59" t="s">
        <v>48</v>
      </c>
      <c r="AD15">
        <f>$AD$2</f>
        <v>4</v>
      </c>
      <c r="AE15">
        <f t="shared" si="0"/>
        <v>0.90256237067684919</v>
      </c>
      <c r="AK15">
        <f>$AL$2</f>
        <v>1.2</v>
      </c>
      <c r="AL15">
        <f t="shared" si="1"/>
        <v>0.32297815059401441</v>
      </c>
    </row>
    <row r="16" spans="1:44" x14ac:dyDescent="0.3">
      <c r="C16" s="29" t="s">
        <v>9</v>
      </c>
      <c r="D16" s="30">
        <f>COUNT(C25:C224)</f>
        <v>145</v>
      </c>
      <c r="F16" s="24" t="s">
        <v>62</v>
      </c>
      <c r="G16"/>
      <c r="H16" s="25">
        <f>($F$13-F12)/$F$13</f>
        <v>0.54061727409115445</v>
      </c>
      <c r="J16" s="24" t="s">
        <v>62</v>
      </c>
      <c r="K16" s="25">
        <f>($F$13-J12)/$F$13</f>
        <v>0.54282076583634675</v>
      </c>
      <c r="M16" s="24" t="s">
        <v>62</v>
      </c>
      <c r="N16" s="25">
        <f>($F$13-M12)/$F$13</f>
        <v>0.54593843995296998</v>
      </c>
      <c r="P16" s="24" t="s">
        <v>62</v>
      </c>
      <c r="Q16" s="25">
        <f>($F$13-P12)/$F$13</f>
        <v>0.54283034267914843</v>
      </c>
      <c r="R16" s="6"/>
      <c r="AD16">
        <f>AD15*$AF$1</f>
        <v>5.2</v>
      </c>
      <c r="AE16">
        <f t="shared" si="0"/>
        <v>0.88972940599150419</v>
      </c>
      <c r="AK16">
        <f>AK15*$AO$1</f>
        <v>1.56</v>
      </c>
      <c r="AL16">
        <f t="shared" si="1"/>
        <v>0.20025231997681098</v>
      </c>
    </row>
    <row r="17" spans="1:44" x14ac:dyDescent="0.3">
      <c r="B17" s="1"/>
      <c r="C17" s="24"/>
      <c r="F17" s="24" t="s">
        <v>65</v>
      </c>
      <c r="G17"/>
      <c r="H17" s="25">
        <f>F11</f>
        <v>217.03647751361939</v>
      </c>
      <c r="J17" s="24"/>
      <c r="K17" s="25"/>
      <c r="M17" s="24"/>
      <c r="N17" s="25"/>
      <c r="P17" s="24"/>
      <c r="Q17" s="25"/>
    </row>
    <row r="18" spans="1:44" x14ac:dyDescent="0.3">
      <c r="C18" s="26"/>
      <c r="D18" s="28"/>
      <c r="E18" s="28"/>
      <c r="F18" s="26" t="s">
        <v>51</v>
      </c>
      <c r="G18" s="28"/>
      <c r="H18" s="27">
        <f>CHIDIST(H17,H11)</f>
        <v>8.139808226117104E-46</v>
      </c>
      <c r="I18" s="1" t="s">
        <v>10</v>
      </c>
      <c r="J18" s="24">
        <v>1</v>
      </c>
      <c r="K18" s="25"/>
      <c r="M18" s="24">
        <v>2</v>
      </c>
      <c r="N18" s="25">
        <v>1</v>
      </c>
      <c r="P18" s="24">
        <v>2</v>
      </c>
      <c r="Q18" s="25">
        <v>1</v>
      </c>
    </row>
    <row r="19" spans="1:44" x14ac:dyDescent="0.3">
      <c r="A19" s="18" t="s">
        <v>38</v>
      </c>
      <c r="B19" s="1"/>
      <c r="H19" s="1" t="s">
        <v>36</v>
      </c>
      <c r="J19" s="24">
        <f>F12-J12</f>
        <v>0.88461488288703549</v>
      </c>
      <c r="K19" s="25"/>
      <c r="M19" s="24">
        <f>F12-M12</f>
        <v>2.1362378715250543</v>
      </c>
      <c r="N19" s="25">
        <f>J12-M12</f>
        <v>1.2516229886380188</v>
      </c>
      <c r="P19" s="24">
        <f>F12-P12</f>
        <v>0.88845960692196968</v>
      </c>
      <c r="Q19" s="25">
        <f>J12-P12</f>
        <v>3.8447240349341882E-3</v>
      </c>
      <c r="AE19" t="s">
        <v>0</v>
      </c>
      <c r="AL19" t="s">
        <v>0</v>
      </c>
    </row>
    <row r="20" spans="1:44" x14ac:dyDescent="0.3">
      <c r="A20" s="18" t="s">
        <v>39</v>
      </c>
      <c r="B20" s="20"/>
      <c r="C20" s="12"/>
      <c r="D20" s="12"/>
      <c r="E20" s="12"/>
      <c r="H20" s="1" t="s">
        <v>37</v>
      </c>
      <c r="J20" s="26">
        <f>CHIDIST(J19,J18)</f>
        <v>0.3469408078834248</v>
      </c>
      <c r="K20" s="27"/>
      <c r="M20" s="26">
        <f>CHIDIST(M19,M18)</f>
        <v>0.3436543457057854</v>
      </c>
      <c r="N20" s="27">
        <f>CHIDIST(N19,N18)</f>
        <v>0.26324272151479461</v>
      </c>
      <c r="P20" s="26">
        <f>CHIDIST(P19,P18)</f>
        <v>0.64131802678999028</v>
      </c>
      <c r="Q20" s="27">
        <f>CHIDIST(Q19,Q18)</f>
        <v>0.95055818232735567</v>
      </c>
      <c r="AD20">
        <v>0</v>
      </c>
      <c r="AE20">
        <f t="shared" ref="AE20:AE37" si="4">$J$2/(1+(AD20/$J$5)^$J$3)</f>
        <v>0.95663716192180837</v>
      </c>
      <c r="AF20" s="1"/>
      <c r="AH20" s="1"/>
      <c r="AK20">
        <v>0</v>
      </c>
      <c r="AL20">
        <f t="shared" ref="AL20:AL37" si="5">$J$2/(1+(AK20/$J$6)^$J$4)</f>
        <v>0.95663716192180837</v>
      </c>
      <c r="AN20" s="1"/>
      <c r="AQ20" s="1"/>
    </row>
    <row r="21" spans="1:44" x14ac:dyDescent="0.3">
      <c r="A21" s="18" t="s">
        <v>40</v>
      </c>
      <c r="B21" s="12"/>
      <c r="C21" s="13"/>
      <c r="D21" s="13"/>
      <c r="E21" s="12"/>
      <c r="AD21">
        <f t="shared" ref="AD21:AD26" si="6">AD22/$AF$1</f>
        <v>0.2901526011456228</v>
      </c>
      <c r="AE21">
        <f t="shared" si="4"/>
        <v>0.9489728996333493</v>
      </c>
      <c r="AF21" s="5"/>
      <c r="AG21" s="3"/>
      <c r="AH21" s="3"/>
      <c r="AI21" s="3"/>
      <c r="AJ21" s="3"/>
      <c r="AK21">
        <f t="shared" ref="AK21:AK26" si="7">AK22/$AO$1</f>
        <v>8.7045780343686832E-2</v>
      </c>
      <c r="AL21">
        <f t="shared" si="5"/>
        <v>0.95313174394528677</v>
      </c>
      <c r="AM21" s="3"/>
      <c r="AN21" s="3"/>
      <c r="AO21" s="3"/>
      <c r="AP21" s="3"/>
      <c r="AQ21" s="3"/>
      <c r="AR21" s="3"/>
    </row>
    <row r="22" spans="1:44" x14ac:dyDescent="0.3">
      <c r="A22" s="18" t="s">
        <v>41</v>
      </c>
      <c r="B22" s="12"/>
      <c r="C22" s="12"/>
      <c r="D22" s="12"/>
      <c r="E22" s="12"/>
      <c r="F22" s="3"/>
      <c r="G22" s="42" t="s">
        <v>64</v>
      </c>
      <c r="H22" t="s">
        <v>18</v>
      </c>
      <c r="AD22">
        <f t="shared" si="6"/>
        <v>0.37719838148930962</v>
      </c>
      <c r="AE22">
        <f t="shared" si="4"/>
        <v>0.94713966517014403</v>
      </c>
      <c r="AF22" s="5"/>
      <c r="AG22" s="3"/>
      <c r="AH22" s="3"/>
      <c r="AI22" s="3"/>
      <c r="AJ22" s="3"/>
      <c r="AK22">
        <f t="shared" si="7"/>
        <v>0.11315951444679288</v>
      </c>
      <c r="AL22">
        <f t="shared" si="5"/>
        <v>0.95005987586233009</v>
      </c>
      <c r="AM22" s="3"/>
      <c r="AN22" s="3"/>
      <c r="AO22" s="3"/>
      <c r="AP22" s="3"/>
      <c r="AQ22" s="3"/>
      <c r="AR22" s="3"/>
    </row>
    <row r="23" spans="1:44" x14ac:dyDescent="0.3">
      <c r="A23" s="19" t="s">
        <v>27</v>
      </c>
      <c r="B23" s="19" t="s">
        <v>28</v>
      </c>
      <c r="G23" s="42">
        <f>AVERAGE(E25:E224)</f>
        <v>0.88620689655172458</v>
      </c>
      <c r="AD23">
        <f t="shared" si="6"/>
        <v>0.49035789593610252</v>
      </c>
      <c r="AE23">
        <f t="shared" si="4"/>
        <v>0.94487337042179753</v>
      </c>
      <c r="AF23" s="5"/>
      <c r="AG23" s="3"/>
      <c r="AH23" s="3"/>
      <c r="AI23" s="3"/>
      <c r="AJ23" s="3"/>
      <c r="AK23">
        <f t="shared" si="7"/>
        <v>0.14710736878083075</v>
      </c>
      <c r="AL23">
        <f t="shared" si="5"/>
        <v>0.94433082507560362</v>
      </c>
      <c r="AM23" s="3"/>
      <c r="AN23" s="3"/>
      <c r="AO23" s="3"/>
      <c r="AP23" s="3"/>
      <c r="AQ23" s="3"/>
      <c r="AR23" s="3"/>
    </row>
    <row r="24" spans="1:44" x14ac:dyDescent="0.3">
      <c r="A24" s="12" t="s">
        <v>71</v>
      </c>
      <c r="B24" s="23" t="s">
        <v>72</v>
      </c>
      <c r="C24" s="1" t="s">
        <v>29</v>
      </c>
      <c r="D24" s="1" t="s">
        <v>26</v>
      </c>
      <c r="E24" s="1" t="s">
        <v>57</v>
      </c>
      <c r="F24" s="1" t="s">
        <v>3</v>
      </c>
      <c r="H24" t="s">
        <v>25</v>
      </c>
      <c r="I24" s="1"/>
      <c r="J24" s="1" t="s">
        <v>4</v>
      </c>
      <c r="K24" t="s">
        <v>25</v>
      </c>
      <c r="L24" s="1"/>
      <c r="M24" s="1" t="s">
        <v>7</v>
      </c>
      <c r="N24" t="s">
        <v>25</v>
      </c>
      <c r="O24" s="1"/>
      <c r="P24" s="1" t="s">
        <v>8</v>
      </c>
      <c r="Q24" t="s">
        <v>25</v>
      </c>
      <c r="AD24">
        <f t="shared" si="6"/>
        <v>0.63746526471693332</v>
      </c>
      <c r="AE24">
        <f t="shared" si="4"/>
        <v>0.94207460663749421</v>
      </c>
      <c r="AF24" s="5"/>
      <c r="AG24" s="3"/>
      <c r="AH24" s="3"/>
      <c r="AI24" s="3"/>
      <c r="AJ24" s="3"/>
      <c r="AK24">
        <f t="shared" si="7"/>
        <v>0.19123957941507999</v>
      </c>
      <c r="AL24">
        <f t="shared" si="5"/>
        <v>0.93373187712841355</v>
      </c>
      <c r="AM24" s="3"/>
      <c r="AN24" s="3"/>
      <c r="AO24" s="3"/>
      <c r="AP24" s="3"/>
      <c r="AQ24" s="3"/>
      <c r="AR24" s="3"/>
    </row>
    <row r="25" spans="1:44" x14ac:dyDescent="0.3">
      <c r="A25" s="10">
        <v>0</v>
      </c>
      <c r="B25" s="10">
        <v>0</v>
      </c>
      <c r="C25" s="11">
        <v>10</v>
      </c>
      <c r="D25" s="11">
        <v>10</v>
      </c>
      <c r="E25" s="11">
        <f>C25/D25</f>
        <v>1</v>
      </c>
      <c r="F25" s="11">
        <f>CA(A25,B25,$F$2,$F$3,$F$4,$F$5,$F$6)+0.01</f>
        <v>0.96559899475100219</v>
      </c>
      <c r="G25" s="42">
        <f>totalbinLik($G$23,D25,C25)</f>
        <v>-1.2080483808529943</v>
      </c>
      <c r="H25" s="10">
        <f>BinLik(D25,C25,F25)</f>
        <v>-0.35006650260871097</v>
      </c>
      <c r="I25" s="11"/>
      <c r="J25" s="11">
        <f>CA_SA(A25,B25,$J$2,$J$3,$J$4,$J$5,$J$6,$J$7)+0.01</f>
        <v>0.96663716192180837</v>
      </c>
      <c r="K25" s="10">
        <f>BinLik(D25,C25,J25)</f>
        <v>-0.33932074291345043</v>
      </c>
      <c r="L25" s="11"/>
      <c r="M25" s="11">
        <f>CA_DR(A25,B25,$M$2,$M$3,$M$4,$M$5,$M$6,$M$7,$M$8)+0.01</f>
        <v>0.96621645950827828</v>
      </c>
      <c r="N25" s="10">
        <f>BinLik(D25,C25,M25)</f>
        <v>-0.34367391705461964</v>
      </c>
      <c r="O25" s="11"/>
      <c r="P25" s="11">
        <f>CA_DL(A25,B25,$P$2,$P$3,$P$4,$P$5,$P$6,$P$7,$P$8)+0.01</f>
        <v>0.96654886929596617</v>
      </c>
      <c r="Q25" s="10">
        <f>BinLik(D25,C25,P25)</f>
        <v>-0.34023418450135573</v>
      </c>
      <c r="R25" s="3" t="s">
        <v>30</v>
      </c>
      <c r="AD25">
        <f t="shared" si="6"/>
        <v>0.82870484413201329</v>
      </c>
      <c r="AE25">
        <f t="shared" si="4"/>
        <v>0.93862267443187242</v>
      </c>
      <c r="AF25" s="5"/>
      <c r="AG25" s="3"/>
      <c r="AH25" s="3"/>
      <c r="AI25" s="3"/>
      <c r="AJ25" s="3"/>
      <c r="AK25">
        <f t="shared" si="7"/>
        <v>0.24861145323960399</v>
      </c>
      <c r="AL25">
        <f t="shared" si="5"/>
        <v>0.91441265224842139</v>
      </c>
      <c r="AM25" s="3"/>
      <c r="AN25" s="3"/>
      <c r="AO25" s="3"/>
      <c r="AP25" s="3"/>
      <c r="AQ25" s="3"/>
      <c r="AR25" s="3"/>
    </row>
    <row r="26" spans="1:44" x14ac:dyDescent="0.3">
      <c r="A26" s="10">
        <v>0</v>
      </c>
      <c r="B26" s="10">
        <v>0</v>
      </c>
      <c r="C26" s="11">
        <v>10</v>
      </c>
      <c r="D26" s="11">
        <v>10</v>
      </c>
      <c r="E26" s="11">
        <f t="shared" ref="E26:E44" si="8">C26/D26</f>
        <v>1</v>
      </c>
      <c r="F26" s="11">
        <f t="shared" ref="F26:F44" si="9">CA(A26,B26,$F$2,$F$3,$F$4,$F$5,$F$6)+0.01</f>
        <v>0.96559899475100219</v>
      </c>
      <c r="G26" s="42">
        <f t="shared" ref="G26:G44" si="10">totalbinLik($G$23,D26,C26)</f>
        <v>-1.2080483808529943</v>
      </c>
      <c r="H26" s="10">
        <f t="shared" ref="H26:H44" si="11">BinLik(D26,C26,F26)</f>
        <v>-0.35006650260871097</v>
      </c>
      <c r="I26" s="11"/>
      <c r="J26" s="11">
        <f t="shared" ref="J26:J44" si="12">CA_SA(A26,B26,$J$2,$J$3,$J$4,$J$5,$J$6,$J$7)+0.01</f>
        <v>0.96663716192180837</v>
      </c>
      <c r="K26" s="10">
        <f t="shared" ref="K26:K44" si="13">BinLik(D26,C26,J26)</f>
        <v>-0.33932074291345043</v>
      </c>
      <c r="L26" s="11"/>
      <c r="M26" s="11">
        <f t="shared" ref="M26:M44" si="14">CA_DR(A26,B26,$M$2,$M$3,$M$4,$M$5,$M$6,$M$7,$M$8)+0.01</f>
        <v>0.96621645950827828</v>
      </c>
      <c r="N26" s="10">
        <f t="shared" ref="N26:N44" si="15">BinLik(D26,C26,M26)</f>
        <v>-0.34367391705461964</v>
      </c>
      <c r="O26" s="11"/>
      <c r="P26" s="11">
        <f t="shared" ref="P26:P44" si="16">CA_DL(A26,B26,$P$2,$P$3,$P$4,$P$5,$P$6,$P$7,$P$8)+0.01</f>
        <v>0.96654886929596617</v>
      </c>
      <c r="Q26" s="10">
        <f t="shared" ref="Q26:Q44" si="17">BinLik(D26,C26,P26)</f>
        <v>-0.34023418450135573</v>
      </c>
      <c r="R26" s="3"/>
      <c r="AD26">
        <f t="shared" si="6"/>
        <v>1.0773162973716173</v>
      </c>
      <c r="AE26">
        <f t="shared" si="4"/>
        <v>0.93437182936095031</v>
      </c>
      <c r="AF26" s="5"/>
      <c r="AG26" s="3"/>
      <c r="AH26" s="3"/>
      <c r="AI26" s="3"/>
      <c r="AJ26" s="3"/>
      <c r="AK26">
        <f t="shared" si="7"/>
        <v>0.3231948892114852</v>
      </c>
      <c r="AL26">
        <f t="shared" si="5"/>
        <v>0.88013388980366525</v>
      </c>
      <c r="AM26" s="3"/>
      <c r="AN26" s="3"/>
      <c r="AO26" s="3"/>
      <c r="AP26" s="3"/>
      <c r="AQ26" s="3"/>
      <c r="AR26" s="3"/>
    </row>
    <row r="27" spans="1:44" x14ac:dyDescent="0.3">
      <c r="A27" s="10">
        <v>0</v>
      </c>
      <c r="B27" s="10">
        <v>0</v>
      </c>
      <c r="C27" s="11">
        <v>8</v>
      </c>
      <c r="D27" s="11">
        <v>10</v>
      </c>
      <c r="E27" s="11">
        <f t="shared" si="8"/>
        <v>0.8</v>
      </c>
      <c r="F27" s="11">
        <f t="shared" si="9"/>
        <v>0.96559899475100219</v>
      </c>
      <c r="G27" s="42">
        <f t="shared" si="10"/>
        <v>-0.30916119232860295</v>
      </c>
      <c r="H27" s="10">
        <f t="shared" si="11"/>
        <v>-2.015367952055414</v>
      </c>
      <c r="I27" s="11"/>
      <c r="J27" s="11">
        <f t="shared" si="12"/>
        <v>0.96663716192180837</v>
      </c>
      <c r="K27" s="10">
        <f t="shared" si="13"/>
        <v>-2.0680576205966483</v>
      </c>
      <c r="L27" s="11"/>
      <c r="M27" s="11">
        <f t="shared" si="14"/>
        <v>0.96621645950827828</v>
      </c>
      <c r="N27" s="10">
        <f t="shared" si="15"/>
        <v>-2.0464780238637816</v>
      </c>
      <c r="O27" s="11"/>
      <c r="P27" s="11">
        <f t="shared" si="16"/>
        <v>0.96654886929596617</v>
      </c>
      <c r="Q27" s="10">
        <f t="shared" si="17"/>
        <v>-2.0635024925552585</v>
      </c>
      <c r="R27" s="3"/>
      <c r="AD27">
        <f>AD29/$AF$1</f>
        <v>1.4005111865831026</v>
      </c>
      <c r="AE27">
        <f t="shared" si="4"/>
        <v>0.92914729747993086</v>
      </c>
      <c r="AF27" s="5"/>
      <c r="AG27" s="3"/>
      <c r="AH27" s="3"/>
      <c r="AI27" s="3"/>
      <c r="AJ27" s="3"/>
      <c r="AK27">
        <f>AK29/$AO$1</f>
        <v>0.42015335597493081</v>
      </c>
      <c r="AL27">
        <f t="shared" si="5"/>
        <v>0.8221206221424977</v>
      </c>
      <c r="AM27" s="3"/>
      <c r="AN27" s="3"/>
      <c r="AO27" s="3"/>
      <c r="AP27" s="3"/>
      <c r="AQ27" s="3"/>
      <c r="AR27" s="3"/>
    </row>
    <row r="28" spans="1:44" x14ac:dyDescent="0.3">
      <c r="A28" s="10">
        <v>0</v>
      </c>
      <c r="B28" s="10">
        <v>0</v>
      </c>
      <c r="C28" s="11">
        <v>10</v>
      </c>
      <c r="D28" s="11">
        <v>10</v>
      </c>
      <c r="E28" s="11">
        <f t="shared" si="8"/>
        <v>1</v>
      </c>
      <c r="F28" s="11">
        <f t="shared" si="9"/>
        <v>0.96559899475100219</v>
      </c>
      <c r="G28" s="42">
        <f t="shared" si="10"/>
        <v>-1.2080483808529943</v>
      </c>
      <c r="H28" s="10">
        <f t="shared" si="11"/>
        <v>-0.35006650260871097</v>
      </c>
      <c r="I28" s="11"/>
      <c r="J28" s="11">
        <f t="shared" si="12"/>
        <v>0.96663716192180837</v>
      </c>
      <c r="K28" s="10">
        <f t="shared" si="13"/>
        <v>-0.33932074291345043</v>
      </c>
      <c r="L28" s="11"/>
      <c r="M28" s="11">
        <f t="shared" si="14"/>
        <v>0.96621645950827828</v>
      </c>
      <c r="N28" s="10">
        <f t="shared" si="15"/>
        <v>-0.34367391705461964</v>
      </c>
      <c r="O28" s="11"/>
      <c r="P28" s="11">
        <f t="shared" si="16"/>
        <v>0.96654886929596617</v>
      </c>
      <c r="Q28" s="10">
        <f t="shared" si="17"/>
        <v>-0.34023418450135573</v>
      </c>
      <c r="R28" s="3"/>
      <c r="AF28" s="5"/>
      <c r="AG28" s="3"/>
      <c r="AH28" s="3"/>
      <c r="AI28" s="3"/>
      <c r="AJ28" s="3"/>
      <c r="AM28" s="3"/>
      <c r="AN28" s="3"/>
      <c r="AO28" s="3"/>
      <c r="AP28" s="3"/>
      <c r="AQ28" s="3"/>
      <c r="AR28" s="3"/>
    </row>
    <row r="29" spans="1:44" x14ac:dyDescent="0.3">
      <c r="A29" s="10">
        <v>0</v>
      </c>
      <c r="B29" s="10">
        <v>0</v>
      </c>
      <c r="C29" s="11">
        <v>10</v>
      </c>
      <c r="D29" s="11">
        <v>10</v>
      </c>
      <c r="E29" s="11">
        <f t="shared" si="8"/>
        <v>1</v>
      </c>
      <c r="F29" s="11">
        <f t="shared" si="9"/>
        <v>0.96559899475100219</v>
      </c>
      <c r="G29" s="42">
        <f t="shared" si="10"/>
        <v>-1.2080483808529943</v>
      </c>
      <c r="H29" s="10">
        <f t="shared" si="11"/>
        <v>-0.35006650260871097</v>
      </c>
      <c r="I29" s="11"/>
      <c r="J29" s="11">
        <f t="shared" si="12"/>
        <v>0.96663716192180837</v>
      </c>
      <c r="K29" s="10">
        <f t="shared" si="13"/>
        <v>-0.33932074291345043</v>
      </c>
      <c r="L29" s="11"/>
      <c r="M29" s="11">
        <f t="shared" si="14"/>
        <v>0.96621645950827828</v>
      </c>
      <c r="N29" s="10">
        <f t="shared" si="15"/>
        <v>-0.34367391705461964</v>
      </c>
      <c r="O29" s="11"/>
      <c r="P29" s="11">
        <f t="shared" si="16"/>
        <v>0.96654886929596617</v>
      </c>
      <c r="Q29" s="10">
        <f t="shared" si="17"/>
        <v>-0.34023418450135573</v>
      </c>
      <c r="R29" s="3"/>
      <c r="AD29">
        <f>AD31/$AF$1</f>
        <v>1.8206645425580334</v>
      </c>
      <c r="AE29">
        <f t="shared" si="4"/>
        <v>0.92274130844764457</v>
      </c>
      <c r="AF29" s="5"/>
      <c r="AG29" s="3"/>
      <c r="AH29" s="3"/>
      <c r="AI29" s="3"/>
      <c r="AJ29" s="3"/>
      <c r="AK29">
        <f>AK31/$AO$1</f>
        <v>0.5461993627674101</v>
      </c>
      <c r="AL29">
        <f t="shared" si="5"/>
        <v>0.73137464844793176</v>
      </c>
      <c r="AM29" s="3"/>
      <c r="AN29" s="3"/>
      <c r="AO29" s="3"/>
      <c r="AP29" s="3"/>
      <c r="AQ29" s="3"/>
      <c r="AR29" s="3"/>
    </row>
    <row r="30" spans="1:44" x14ac:dyDescent="0.3">
      <c r="A30" s="10">
        <v>0</v>
      </c>
      <c r="B30" s="10">
        <v>0</v>
      </c>
      <c r="C30" s="11">
        <v>10</v>
      </c>
      <c r="D30" s="11">
        <v>10</v>
      </c>
      <c r="E30" s="11">
        <f t="shared" si="8"/>
        <v>1</v>
      </c>
      <c r="F30" s="11">
        <f t="shared" si="9"/>
        <v>0.96559899475100219</v>
      </c>
      <c r="G30" s="42">
        <f t="shared" si="10"/>
        <v>-1.2080483808529943</v>
      </c>
      <c r="H30" s="10">
        <f t="shared" si="11"/>
        <v>-0.35006650260871097</v>
      </c>
      <c r="I30" s="11"/>
      <c r="J30" s="11">
        <f t="shared" si="12"/>
        <v>0.96663716192180837</v>
      </c>
      <c r="K30" s="10">
        <f t="shared" si="13"/>
        <v>-0.33932074291345043</v>
      </c>
      <c r="L30" s="11"/>
      <c r="M30" s="11">
        <f t="shared" si="14"/>
        <v>0.96621645950827828</v>
      </c>
      <c r="N30" s="10">
        <f t="shared" si="15"/>
        <v>-0.34367391705461964</v>
      </c>
      <c r="O30" s="11"/>
      <c r="P30" s="11">
        <f t="shared" si="16"/>
        <v>0.96654886929596617</v>
      </c>
      <c r="Q30" s="10">
        <f t="shared" si="17"/>
        <v>-0.34023418450135573</v>
      </c>
      <c r="R30" s="3"/>
      <c r="AF30" s="5"/>
      <c r="AG30" s="3"/>
      <c r="AH30" s="3"/>
      <c r="AI30" s="3"/>
      <c r="AJ30" s="3"/>
      <c r="AM30" s="3"/>
      <c r="AN30" s="3"/>
      <c r="AO30" s="3"/>
      <c r="AP30" s="3"/>
      <c r="AQ30" s="3"/>
      <c r="AR30" s="3"/>
    </row>
    <row r="31" spans="1:44" x14ac:dyDescent="0.3">
      <c r="A31" s="10">
        <v>0</v>
      </c>
      <c r="B31" s="10">
        <v>0</v>
      </c>
      <c r="C31" s="11">
        <v>10</v>
      </c>
      <c r="D31" s="11">
        <v>10</v>
      </c>
      <c r="E31" s="11">
        <f t="shared" si="8"/>
        <v>1</v>
      </c>
      <c r="F31" s="11">
        <f t="shared" si="9"/>
        <v>0.96559899475100219</v>
      </c>
      <c r="G31" s="42">
        <f t="shared" si="10"/>
        <v>-1.2080483808529943</v>
      </c>
      <c r="H31" s="10">
        <f t="shared" si="11"/>
        <v>-0.35006650260871097</v>
      </c>
      <c r="I31" s="11"/>
      <c r="J31" s="11">
        <f t="shared" si="12"/>
        <v>0.96663716192180837</v>
      </c>
      <c r="K31" s="10">
        <f t="shared" si="13"/>
        <v>-0.33932074291345043</v>
      </c>
      <c r="L31" s="11"/>
      <c r="M31" s="11">
        <f t="shared" si="14"/>
        <v>0.96621645950827828</v>
      </c>
      <c r="N31" s="10">
        <f t="shared" si="15"/>
        <v>-0.34367391705461964</v>
      </c>
      <c r="O31" s="11"/>
      <c r="P31" s="11">
        <f t="shared" si="16"/>
        <v>0.96654886929596617</v>
      </c>
      <c r="Q31" s="10">
        <f t="shared" si="17"/>
        <v>-0.34023418450135573</v>
      </c>
      <c r="R31" s="3"/>
      <c r="AD31">
        <f>AD33/$AF$1</f>
        <v>2.3668639053254434</v>
      </c>
      <c r="AE31">
        <f t="shared" si="4"/>
        <v>0.91490956645598043</v>
      </c>
      <c r="AF31" s="5"/>
      <c r="AG31" s="3"/>
      <c r="AH31" s="3"/>
      <c r="AI31" s="3"/>
      <c r="AJ31" s="3"/>
      <c r="AK31">
        <f>AK33/$AO$1</f>
        <v>0.7100591715976331</v>
      </c>
      <c r="AL31">
        <f t="shared" si="5"/>
        <v>0.60555360203196673</v>
      </c>
      <c r="AM31" s="3"/>
      <c r="AN31" s="3"/>
      <c r="AO31" s="3"/>
      <c r="AP31" s="3"/>
      <c r="AQ31" s="3"/>
      <c r="AR31" s="3"/>
    </row>
    <row r="32" spans="1:44" x14ac:dyDescent="0.3">
      <c r="A32" s="10">
        <v>0</v>
      </c>
      <c r="B32" s="10">
        <v>0</v>
      </c>
      <c r="C32" s="11">
        <v>10</v>
      </c>
      <c r="D32" s="11">
        <v>10</v>
      </c>
      <c r="E32" s="11">
        <f t="shared" si="8"/>
        <v>1</v>
      </c>
      <c r="F32" s="11">
        <f t="shared" si="9"/>
        <v>0.96559899475100219</v>
      </c>
      <c r="G32" s="42">
        <f t="shared" si="10"/>
        <v>-1.2080483808529943</v>
      </c>
      <c r="H32" s="10">
        <f t="shared" si="11"/>
        <v>-0.35006650260871097</v>
      </c>
      <c r="I32" s="11"/>
      <c r="J32" s="11">
        <f t="shared" si="12"/>
        <v>0.96663716192180837</v>
      </c>
      <c r="K32" s="10">
        <f t="shared" si="13"/>
        <v>-0.33932074291345043</v>
      </c>
      <c r="L32" s="11"/>
      <c r="M32" s="11">
        <f t="shared" si="14"/>
        <v>0.96621645950827828</v>
      </c>
      <c r="N32" s="10">
        <f t="shared" si="15"/>
        <v>-0.34367391705461964</v>
      </c>
      <c r="O32" s="11"/>
      <c r="P32" s="11">
        <f t="shared" si="16"/>
        <v>0.96654886929596617</v>
      </c>
      <c r="Q32" s="10">
        <f t="shared" si="17"/>
        <v>-0.34023418450135573</v>
      </c>
      <c r="R32" s="3"/>
      <c r="AF32" s="5"/>
      <c r="AG32" s="3"/>
      <c r="AH32" s="3"/>
      <c r="AI32" s="3"/>
      <c r="AJ32" s="3"/>
      <c r="AM32" s="3"/>
      <c r="AN32" s="3"/>
      <c r="AO32" s="3"/>
      <c r="AP32" s="3"/>
      <c r="AQ32" s="3"/>
      <c r="AR32" s="3"/>
    </row>
    <row r="33" spans="1:44" x14ac:dyDescent="0.3">
      <c r="A33" s="10">
        <v>0</v>
      </c>
      <c r="B33" s="10">
        <v>0</v>
      </c>
      <c r="C33" s="11">
        <v>8</v>
      </c>
      <c r="D33" s="11">
        <v>10</v>
      </c>
      <c r="E33" s="11">
        <f t="shared" si="8"/>
        <v>0.8</v>
      </c>
      <c r="F33" s="11">
        <f t="shared" si="9"/>
        <v>0.96559899475100219</v>
      </c>
      <c r="G33" s="42">
        <f t="shared" si="10"/>
        <v>-0.30916119232860295</v>
      </c>
      <c r="H33" s="10">
        <f t="shared" si="11"/>
        <v>-2.015367952055414</v>
      </c>
      <c r="I33" s="11"/>
      <c r="J33" s="11">
        <f t="shared" si="12"/>
        <v>0.96663716192180837</v>
      </c>
      <c r="K33" s="10">
        <f t="shared" si="13"/>
        <v>-2.0680576205966483</v>
      </c>
      <c r="L33" s="11"/>
      <c r="M33" s="11">
        <f t="shared" si="14"/>
        <v>0.96621645950827828</v>
      </c>
      <c r="N33" s="10">
        <f t="shared" si="15"/>
        <v>-2.0464780238637816</v>
      </c>
      <c r="O33" s="11"/>
      <c r="P33" s="11">
        <f t="shared" si="16"/>
        <v>0.96654886929596617</v>
      </c>
      <c r="Q33" s="10">
        <f t="shared" si="17"/>
        <v>-2.0635024925552585</v>
      </c>
      <c r="R33" s="3"/>
      <c r="AD33">
        <f>AD35/$AF$1</f>
        <v>3.0769230769230766</v>
      </c>
      <c r="AE33">
        <f t="shared" si="4"/>
        <v>0.90536881635136746</v>
      </c>
      <c r="AF33" s="5"/>
      <c r="AG33" s="3"/>
      <c r="AH33" s="3"/>
      <c r="AI33" s="3"/>
      <c r="AJ33" s="3"/>
      <c r="AK33">
        <f>AK35/$AO$1</f>
        <v>0.92307692307692302</v>
      </c>
      <c r="AL33">
        <f t="shared" si="5"/>
        <v>0.457424164918453</v>
      </c>
      <c r="AM33" s="3"/>
      <c r="AN33" s="3"/>
      <c r="AO33" s="3"/>
      <c r="AP33" s="3"/>
      <c r="AQ33" s="3"/>
      <c r="AR33" s="3"/>
    </row>
    <row r="34" spans="1:44" x14ac:dyDescent="0.3">
      <c r="A34" s="10">
        <v>0</v>
      </c>
      <c r="B34" s="10">
        <v>0</v>
      </c>
      <c r="C34" s="11">
        <v>10</v>
      </c>
      <c r="D34" s="11">
        <v>10</v>
      </c>
      <c r="E34" s="11">
        <f t="shared" si="8"/>
        <v>1</v>
      </c>
      <c r="F34" s="11">
        <f t="shared" si="9"/>
        <v>0.96559899475100219</v>
      </c>
      <c r="G34" s="42">
        <f t="shared" si="10"/>
        <v>-1.2080483808529943</v>
      </c>
      <c r="H34" s="10">
        <f t="shared" si="11"/>
        <v>-0.35006650260871097</v>
      </c>
      <c r="I34" s="11"/>
      <c r="J34" s="11">
        <f t="shared" si="12"/>
        <v>0.96663716192180837</v>
      </c>
      <c r="K34" s="10">
        <f t="shared" si="13"/>
        <v>-0.33932074291345043</v>
      </c>
      <c r="L34" s="11"/>
      <c r="M34" s="11">
        <f t="shared" si="14"/>
        <v>0.96621645950827828</v>
      </c>
      <c r="N34" s="10">
        <f t="shared" si="15"/>
        <v>-0.34367391705461964</v>
      </c>
      <c r="O34" s="11"/>
      <c r="P34" s="11">
        <f t="shared" si="16"/>
        <v>0.96654886929596617</v>
      </c>
      <c r="Q34" s="10">
        <f t="shared" si="17"/>
        <v>-0.34023418450135573</v>
      </c>
      <c r="R34" s="3"/>
      <c r="AF34" s="5"/>
      <c r="AG34" s="3"/>
      <c r="AH34" s="3"/>
      <c r="AI34" s="3"/>
      <c r="AJ34" s="3"/>
      <c r="AM34" s="3"/>
      <c r="AN34" s="3"/>
      <c r="AO34" s="3"/>
      <c r="AP34" s="3"/>
      <c r="AQ34" s="3"/>
      <c r="AR34" s="3"/>
    </row>
    <row r="35" spans="1:44" x14ac:dyDescent="0.3">
      <c r="A35" s="10">
        <v>0</v>
      </c>
      <c r="B35" s="10">
        <v>0</v>
      </c>
      <c r="C35" s="11">
        <v>10</v>
      </c>
      <c r="D35" s="11">
        <v>10</v>
      </c>
      <c r="E35" s="11">
        <f t="shared" si="8"/>
        <v>1</v>
      </c>
      <c r="F35" s="11">
        <f t="shared" si="9"/>
        <v>0.96559899475100219</v>
      </c>
      <c r="G35" s="42">
        <f t="shared" si="10"/>
        <v>-1.2080483808529943</v>
      </c>
      <c r="H35" s="10">
        <f t="shared" si="11"/>
        <v>-0.35006650260871097</v>
      </c>
      <c r="I35" s="11"/>
      <c r="J35" s="11">
        <f t="shared" si="12"/>
        <v>0.96663716192180837</v>
      </c>
      <c r="K35" s="10">
        <f t="shared" si="13"/>
        <v>-0.33932074291345043</v>
      </c>
      <c r="L35" s="11"/>
      <c r="M35" s="11">
        <f t="shared" si="14"/>
        <v>0.96621645950827828</v>
      </c>
      <c r="N35" s="10">
        <f t="shared" si="15"/>
        <v>-0.34367391705461964</v>
      </c>
      <c r="O35" s="11"/>
      <c r="P35" s="11">
        <f t="shared" si="16"/>
        <v>0.96654886929596617</v>
      </c>
      <c r="Q35" s="10">
        <f t="shared" si="17"/>
        <v>-0.34023418450135573</v>
      </c>
      <c r="R35" s="3"/>
      <c r="AD35">
        <f>$AD$2</f>
        <v>4</v>
      </c>
      <c r="AE35">
        <f t="shared" si="4"/>
        <v>0.89379646620699427</v>
      </c>
      <c r="AF35" s="5"/>
      <c r="AG35" s="3"/>
      <c r="AH35" s="3"/>
      <c r="AI35" s="3"/>
      <c r="AJ35" s="3"/>
      <c r="AK35">
        <f>$AL$2</f>
        <v>1.2</v>
      </c>
      <c r="AL35">
        <f t="shared" si="5"/>
        <v>0.31320423396628494</v>
      </c>
      <c r="AM35" s="3"/>
      <c r="AN35" s="3"/>
      <c r="AO35" s="3"/>
      <c r="AP35" s="3"/>
      <c r="AQ35" s="3"/>
      <c r="AR35" s="3"/>
    </row>
    <row r="36" spans="1:44" x14ac:dyDescent="0.3">
      <c r="A36" s="10">
        <v>0</v>
      </c>
      <c r="B36" s="10">
        <v>0</v>
      </c>
      <c r="C36" s="11">
        <v>10</v>
      </c>
      <c r="D36" s="11">
        <v>10</v>
      </c>
      <c r="E36" s="11">
        <f t="shared" si="8"/>
        <v>1</v>
      </c>
      <c r="F36" s="11">
        <f t="shared" si="9"/>
        <v>0.96559899475100219</v>
      </c>
      <c r="G36" s="42">
        <f t="shared" si="10"/>
        <v>-1.2080483808529943</v>
      </c>
      <c r="H36" s="10">
        <f t="shared" si="11"/>
        <v>-0.35006650260871097</v>
      </c>
      <c r="I36" s="11"/>
      <c r="J36" s="11">
        <f t="shared" si="12"/>
        <v>0.96663716192180837</v>
      </c>
      <c r="K36" s="10">
        <f t="shared" si="13"/>
        <v>-0.33932074291345043</v>
      </c>
      <c r="L36" s="11"/>
      <c r="M36" s="11">
        <f t="shared" si="14"/>
        <v>0.96621645950827828</v>
      </c>
      <c r="N36" s="10">
        <f t="shared" si="15"/>
        <v>-0.34367391705461964</v>
      </c>
      <c r="O36" s="11"/>
      <c r="P36" s="11">
        <f t="shared" si="16"/>
        <v>0.96654886929596617</v>
      </c>
      <c r="Q36" s="10">
        <f t="shared" si="17"/>
        <v>-0.34023418450135573</v>
      </c>
      <c r="R36" s="3"/>
      <c r="AF36" s="5"/>
      <c r="AG36" s="3"/>
      <c r="AH36" s="3"/>
      <c r="AI36" s="3"/>
      <c r="AJ36" s="3"/>
      <c r="AM36" s="3"/>
      <c r="AN36" s="3"/>
      <c r="AO36" s="3"/>
      <c r="AP36" s="3"/>
      <c r="AQ36" s="3"/>
      <c r="AR36" s="3"/>
    </row>
    <row r="37" spans="1:44" x14ac:dyDescent="0.3">
      <c r="A37" s="10">
        <v>0</v>
      </c>
      <c r="B37" s="10">
        <v>0</v>
      </c>
      <c r="C37" s="11">
        <v>10</v>
      </c>
      <c r="D37" s="11">
        <v>10</v>
      </c>
      <c r="E37" s="11">
        <f t="shared" si="8"/>
        <v>1</v>
      </c>
      <c r="F37" s="11">
        <f t="shared" si="9"/>
        <v>0.96559899475100219</v>
      </c>
      <c r="G37" s="42">
        <f t="shared" si="10"/>
        <v>-1.2080483808529943</v>
      </c>
      <c r="H37" s="10">
        <f t="shared" si="11"/>
        <v>-0.35006650260871097</v>
      </c>
      <c r="I37" s="11"/>
      <c r="J37" s="11">
        <f t="shared" si="12"/>
        <v>0.96663716192180837</v>
      </c>
      <c r="K37" s="10">
        <f t="shared" si="13"/>
        <v>-0.33932074291345043</v>
      </c>
      <c r="L37" s="11"/>
      <c r="M37" s="11">
        <f t="shared" si="14"/>
        <v>0.96621645950827828</v>
      </c>
      <c r="N37" s="10">
        <f t="shared" si="15"/>
        <v>-0.34367391705461964</v>
      </c>
      <c r="O37" s="11"/>
      <c r="P37" s="11">
        <f t="shared" si="16"/>
        <v>0.96654886929596617</v>
      </c>
      <c r="Q37" s="10">
        <f t="shared" si="17"/>
        <v>-0.34023418450135573</v>
      </c>
      <c r="R37" s="3"/>
      <c r="AD37">
        <f>AD35*$AF$1</f>
        <v>5.2</v>
      </c>
      <c r="AE37">
        <f t="shared" si="4"/>
        <v>0.87983358162752989</v>
      </c>
      <c r="AF37" s="5"/>
      <c r="AG37" s="3"/>
      <c r="AH37" s="3"/>
      <c r="AI37" s="3"/>
      <c r="AJ37" s="3"/>
      <c r="AK37">
        <f>AK35*$AO$1</f>
        <v>1.56</v>
      </c>
      <c r="AL37">
        <f t="shared" si="5"/>
        <v>0.19655209022640216</v>
      </c>
      <c r="AM37" s="3"/>
      <c r="AN37" s="3"/>
      <c r="AO37" s="3"/>
      <c r="AP37" s="3"/>
      <c r="AQ37" s="3"/>
      <c r="AR37" s="3"/>
    </row>
    <row r="38" spans="1:44" x14ac:dyDescent="0.3">
      <c r="A38" s="10">
        <v>0</v>
      </c>
      <c r="B38" s="10">
        <v>0</v>
      </c>
      <c r="C38" s="11">
        <v>10</v>
      </c>
      <c r="D38" s="11">
        <v>10</v>
      </c>
      <c r="E38" s="11">
        <f t="shared" si="8"/>
        <v>1</v>
      </c>
      <c r="F38" s="11">
        <f t="shared" si="9"/>
        <v>0.96559899475100219</v>
      </c>
      <c r="G38" s="42">
        <f t="shared" si="10"/>
        <v>-1.2080483808529943</v>
      </c>
      <c r="H38" s="10">
        <f t="shared" si="11"/>
        <v>-0.35006650260871097</v>
      </c>
      <c r="I38" s="11"/>
      <c r="J38" s="11">
        <f t="shared" si="12"/>
        <v>0.96663716192180837</v>
      </c>
      <c r="K38" s="10">
        <f t="shared" si="13"/>
        <v>-0.33932074291345043</v>
      </c>
      <c r="L38" s="11"/>
      <c r="M38" s="11">
        <f t="shared" si="14"/>
        <v>0.96621645950827828</v>
      </c>
      <c r="N38" s="10">
        <f t="shared" si="15"/>
        <v>-0.34367391705461964</v>
      </c>
      <c r="O38" s="11"/>
      <c r="P38" s="11">
        <f t="shared" si="16"/>
        <v>0.96654886929596617</v>
      </c>
      <c r="Q38" s="10">
        <f t="shared" si="17"/>
        <v>-0.34023418450135573</v>
      </c>
      <c r="R38" s="3"/>
      <c r="AF38" s="5"/>
      <c r="AG38" s="3"/>
      <c r="AH38" s="3"/>
      <c r="AI38" s="3"/>
      <c r="AJ38" s="3"/>
      <c r="AM38" s="3"/>
      <c r="AN38" s="3"/>
      <c r="AO38" s="3"/>
      <c r="AP38" s="3"/>
      <c r="AQ38" s="3"/>
      <c r="AR38" s="3"/>
    </row>
    <row r="39" spans="1:44" x14ac:dyDescent="0.3">
      <c r="A39" s="10">
        <v>0</v>
      </c>
      <c r="B39" s="10">
        <v>0</v>
      </c>
      <c r="C39" s="11">
        <v>10</v>
      </c>
      <c r="D39" s="11">
        <v>10</v>
      </c>
      <c r="E39" s="11">
        <f t="shared" si="8"/>
        <v>1</v>
      </c>
      <c r="F39" s="11">
        <f t="shared" si="9"/>
        <v>0.96559899475100219</v>
      </c>
      <c r="G39" s="42">
        <f t="shared" si="10"/>
        <v>-1.2080483808529943</v>
      </c>
      <c r="H39" s="10">
        <f t="shared" si="11"/>
        <v>-0.35006650260871097</v>
      </c>
      <c r="I39" s="11"/>
      <c r="J39" s="11">
        <f t="shared" si="12"/>
        <v>0.96663716192180837</v>
      </c>
      <c r="K39" s="10">
        <f t="shared" si="13"/>
        <v>-0.33932074291345043</v>
      </c>
      <c r="L39" s="11"/>
      <c r="M39" s="11">
        <f t="shared" si="14"/>
        <v>0.96621645950827828</v>
      </c>
      <c r="N39" s="10">
        <f t="shared" si="15"/>
        <v>-0.34367391705461964</v>
      </c>
      <c r="O39" s="11"/>
      <c r="P39" s="11">
        <f t="shared" si="16"/>
        <v>0.96654886929596617</v>
      </c>
      <c r="Q39" s="10">
        <f t="shared" si="17"/>
        <v>-0.34023418450135573</v>
      </c>
      <c r="R39" s="3"/>
      <c r="AD39" s="5"/>
      <c r="AE39" s="5"/>
      <c r="AF39" s="5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</row>
    <row r="40" spans="1:44" x14ac:dyDescent="0.3">
      <c r="A40" s="10">
        <v>0</v>
      </c>
      <c r="B40" s="10">
        <v>0</v>
      </c>
      <c r="C40" s="11">
        <v>9</v>
      </c>
      <c r="D40" s="11">
        <v>10</v>
      </c>
      <c r="E40" s="11">
        <f t="shared" si="8"/>
        <v>0.9</v>
      </c>
      <c r="F40" s="11">
        <f t="shared" si="9"/>
        <v>0.96559899475100219</v>
      </c>
      <c r="G40" s="42">
        <f t="shared" si="10"/>
        <v>-9.7871703672560983E-3</v>
      </c>
      <c r="H40" s="10">
        <f t="shared" si="11"/>
        <v>-0.43389961110851838</v>
      </c>
      <c r="I40" s="11"/>
      <c r="J40" s="11">
        <f t="shared" si="12"/>
        <v>0.96663716192180837</v>
      </c>
      <c r="K40" s="10">
        <f t="shared" si="13"/>
        <v>-0.4548715655315072</v>
      </c>
      <c r="L40" s="11"/>
      <c r="M40" s="11">
        <f t="shared" si="14"/>
        <v>0.96621645950827828</v>
      </c>
      <c r="N40" s="10">
        <f t="shared" si="15"/>
        <v>-0.44625835423565852</v>
      </c>
      <c r="O40" s="11"/>
      <c r="P40" s="11">
        <f t="shared" si="16"/>
        <v>0.96654886929596617</v>
      </c>
      <c r="Q40" s="10">
        <f t="shared" si="17"/>
        <v>-0.45305072230476406</v>
      </c>
      <c r="AD40" s="5"/>
      <c r="AE40" s="5"/>
      <c r="AF40" s="5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</row>
    <row r="41" spans="1:44" x14ac:dyDescent="0.3">
      <c r="A41" s="10">
        <v>0</v>
      </c>
      <c r="B41" s="10">
        <v>0</v>
      </c>
      <c r="C41" s="11">
        <v>10</v>
      </c>
      <c r="D41" s="11">
        <v>10</v>
      </c>
      <c r="E41" s="11">
        <f t="shared" si="8"/>
        <v>1</v>
      </c>
      <c r="F41" s="11">
        <f t="shared" si="9"/>
        <v>0.96559899475100219</v>
      </c>
      <c r="G41" s="42">
        <f t="shared" si="10"/>
        <v>-1.2080483808529943</v>
      </c>
      <c r="H41" s="10">
        <f t="shared" si="11"/>
        <v>-0.35006650260871097</v>
      </c>
      <c r="I41" s="11"/>
      <c r="J41" s="11">
        <f t="shared" si="12"/>
        <v>0.96663716192180837</v>
      </c>
      <c r="K41" s="10">
        <f t="shared" si="13"/>
        <v>-0.33932074291345043</v>
      </c>
      <c r="L41" s="11"/>
      <c r="M41" s="11">
        <f t="shared" si="14"/>
        <v>0.96621645950827828</v>
      </c>
      <c r="N41" s="10">
        <f t="shared" si="15"/>
        <v>-0.34367391705461964</v>
      </c>
      <c r="O41" s="11"/>
      <c r="P41" s="11">
        <f t="shared" si="16"/>
        <v>0.96654886929596617</v>
      </c>
      <c r="Q41" s="10">
        <f t="shared" si="17"/>
        <v>-0.34023418450135573</v>
      </c>
      <c r="R41" s="3"/>
      <c r="AF41" s="5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</row>
    <row r="42" spans="1:44" x14ac:dyDescent="0.3">
      <c r="A42" s="10">
        <v>0</v>
      </c>
      <c r="B42" s="10">
        <v>0</v>
      </c>
      <c r="C42" s="11">
        <v>10</v>
      </c>
      <c r="D42" s="11">
        <v>10</v>
      </c>
      <c r="E42" s="11">
        <f t="shared" si="8"/>
        <v>1</v>
      </c>
      <c r="F42" s="11">
        <f t="shared" si="9"/>
        <v>0.96559899475100219</v>
      </c>
      <c r="G42" s="42">
        <f t="shared" si="10"/>
        <v>-1.2080483808529943</v>
      </c>
      <c r="H42" s="10">
        <f t="shared" si="11"/>
        <v>-0.35006650260871097</v>
      </c>
      <c r="I42" s="11"/>
      <c r="J42" s="11">
        <f t="shared" si="12"/>
        <v>0.96663716192180837</v>
      </c>
      <c r="K42" s="10">
        <f t="shared" si="13"/>
        <v>-0.33932074291345043</v>
      </c>
      <c r="L42" s="11"/>
      <c r="M42" s="11">
        <f t="shared" si="14"/>
        <v>0.96621645950827828</v>
      </c>
      <c r="N42" s="10">
        <f t="shared" si="15"/>
        <v>-0.34367391705461964</v>
      </c>
      <c r="O42" s="11"/>
      <c r="P42" s="11">
        <f t="shared" si="16"/>
        <v>0.96654886929596617</v>
      </c>
      <c r="Q42" s="10">
        <f t="shared" si="17"/>
        <v>-0.34023418450135573</v>
      </c>
      <c r="R42" s="3"/>
      <c r="AD42">
        <v>0</v>
      </c>
      <c r="AE42">
        <f t="shared" ref="AE42:AE54" si="18">$M$2/(1+(AD42/$M$5)^$M$3)</f>
        <v>0.95621645950827827</v>
      </c>
      <c r="AF42" s="5"/>
      <c r="AG42" s="3"/>
      <c r="AH42" s="3"/>
      <c r="AI42" s="3"/>
      <c r="AJ42" s="3"/>
      <c r="AL42" t="s">
        <v>0</v>
      </c>
      <c r="AM42" s="3"/>
      <c r="AN42" s="3"/>
      <c r="AO42" s="3"/>
      <c r="AP42" s="3"/>
      <c r="AQ42" s="3"/>
      <c r="AR42" s="3"/>
    </row>
    <row r="43" spans="1:44" x14ac:dyDescent="0.3">
      <c r="A43" s="10">
        <v>0</v>
      </c>
      <c r="B43" s="10">
        <v>0</v>
      </c>
      <c r="C43" s="11">
        <v>8</v>
      </c>
      <c r="D43" s="11">
        <v>10</v>
      </c>
      <c r="E43" s="11">
        <f t="shared" si="8"/>
        <v>0.8</v>
      </c>
      <c r="F43" s="11">
        <f t="shared" si="9"/>
        <v>0.96559899475100219</v>
      </c>
      <c r="G43" s="42">
        <f t="shared" si="10"/>
        <v>-0.30916119232860295</v>
      </c>
      <c r="H43" s="10">
        <f t="shared" si="11"/>
        <v>-2.015367952055414</v>
      </c>
      <c r="I43" s="11"/>
      <c r="J43" s="11">
        <f t="shared" si="12"/>
        <v>0.96663716192180837</v>
      </c>
      <c r="K43" s="10">
        <f t="shared" si="13"/>
        <v>-2.0680576205966483</v>
      </c>
      <c r="L43" s="11"/>
      <c r="M43" s="11">
        <f t="shared" si="14"/>
        <v>0.96621645950827828</v>
      </c>
      <c r="N43" s="10">
        <f t="shared" si="15"/>
        <v>-2.0464780238637816</v>
      </c>
      <c r="O43" s="11"/>
      <c r="P43" s="11">
        <f t="shared" si="16"/>
        <v>0.96654886929596617</v>
      </c>
      <c r="Q43" s="10">
        <f t="shared" si="17"/>
        <v>-2.0635024925552585</v>
      </c>
      <c r="R43" s="3"/>
      <c r="AD43">
        <f t="shared" ref="AD43:AD52" si="19">AD44/$AF$1</f>
        <v>0.2901526011456228</v>
      </c>
      <c r="AE43">
        <f t="shared" si="18"/>
        <v>0.94696348541034825</v>
      </c>
      <c r="AF43" s="5"/>
      <c r="AG43" s="3"/>
      <c r="AH43" s="3"/>
      <c r="AI43" s="3"/>
      <c r="AJ43" s="3"/>
      <c r="AK43">
        <v>0</v>
      </c>
      <c r="AL43">
        <f t="shared" ref="AL43:AL55" si="20">$M$2/(1+(AK43/$M$6)^$M$4)</f>
        <v>0.95621645950827827</v>
      </c>
      <c r="AM43" s="3"/>
      <c r="AN43" s="3"/>
      <c r="AO43" s="3"/>
      <c r="AP43" s="3"/>
      <c r="AQ43" s="3"/>
      <c r="AR43" s="3"/>
    </row>
    <row r="44" spans="1:44" x14ac:dyDescent="0.3">
      <c r="A44" s="10">
        <v>0</v>
      </c>
      <c r="B44" s="10">
        <v>0</v>
      </c>
      <c r="C44" s="11">
        <v>10</v>
      </c>
      <c r="D44" s="11">
        <v>10</v>
      </c>
      <c r="E44" s="11">
        <f t="shared" si="8"/>
        <v>1</v>
      </c>
      <c r="F44" s="11">
        <f t="shared" si="9"/>
        <v>0.96559899475100219</v>
      </c>
      <c r="G44" s="42">
        <f t="shared" si="10"/>
        <v>-1.2080483808529943</v>
      </c>
      <c r="H44" s="10">
        <f t="shared" si="11"/>
        <v>-0.35006650260871097</v>
      </c>
      <c r="I44" s="11"/>
      <c r="J44" s="11">
        <f t="shared" si="12"/>
        <v>0.96663716192180837</v>
      </c>
      <c r="K44" s="10">
        <f t="shared" si="13"/>
        <v>-0.33932074291345043</v>
      </c>
      <c r="L44" s="11"/>
      <c r="M44" s="11">
        <f t="shared" si="14"/>
        <v>0.96621645950827828</v>
      </c>
      <c r="N44" s="10">
        <f t="shared" si="15"/>
        <v>-0.34367391705461964</v>
      </c>
      <c r="O44" s="11"/>
      <c r="P44" s="11">
        <f t="shared" si="16"/>
        <v>0.96654886929596617</v>
      </c>
      <c r="Q44" s="10">
        <f t="shared" si="17"/>
        <v>-0.34023418450135573</v>
      </c>
      <c r="R44" s="3"/>
      <c r="AD44">
        <f t="shared" si="19"/>
        <v>0.37719838148930962</v>
      </c>
      <c r="AE44">
        <f t="shared" si="18"/>
        <v>0.94485131350539375</v>
      </c>
      <c r="AF44" s="5"/>
      <c r="AG44" s="3"/>
      <c r="AH44" s="3"/>
      <c r="AI44" s="3"/>
      <c r="AJ44" s="3"/>
      <c r="AK44">
        <f t="shared" ref="AK44:AK53" si="21">AK45/$AO$1</f>
        <v>8.7045780343686832E-2</v>
      </c>
      <c r="AL44">
        <f t="shared" si="20"/>
        <v>0.95366605197104215</v>
      </c>
      <c r="AM44" s="3"/>
      <c r="AN44" s="3"/>
      <c r="AO44" s="3"/>
      <c r="AP44" s="3"/>
      <c r="AQ44" s="3"/>
      <c r="AR44" s="3"/>
    </row>
    <row r="45" spans="1:44" x14ac:dyDescent="0.3">
      <c r="A45" s="82">
        <v>0.25</v>
      </c>
      <c r="B45" s="12">
        <v>0</v>
      </c>
      <c r="C45" s="13">
        <v>10</v>
      </c>
      <c r="D45" s="13">
        <v>10</v>
      </c>
      <c r="E45" s="13">
        <f>C45/D45</f>
        <v>1</v>
      </c>
      <c r="F45" s="13">
        <f>CA(A45,B45,$F$2,$F$3,$F$4,$F$5,$F$6)+0.01</f>
        <v>0.96073584321679928</v>
      </c>
      <c r="G45" s="42">
        <f>totalbinLik($G$23,D45,C45)</f>
        <v>-1.2080483808529943</v>
      </c>
      <c r="H45" s="13">
        <f>BinLik(D45,C45,F45)</f>
        <v>-0.40055784783088305</v>
      </c>
      <c r="I45" s="13"/>
      <c r="J45" s="13">
        <f>CA_SA(A45,B45,$J$2,$J$3,$J$4,$J$5,$J$6,$J$7)+0.01</f>
        <v>0.9598526211130457</v>
      </c>
      <c r="K45" s="13">
        <f>BinLik(D45,C45,J45)</f>
        <v>-0.40975525979517202</v>
      </c>
      <c r="L45" s="13"/>
      <c r="M45" s="13">
        <f>CA_DR(A45,B45,$M$2,$M$3,$M$4,$M$5,$M$6,$M$7,$M$8)+0.01</f>
        <v>0.95798444505323621</v>
      </c>
      <c r="N45" s="13">
        <f>BinLik(D45,C45,M45)</f>
        <v>-0.42923738039509474</v>
      </c>
      <c r="O45" s="13"/>
      <c r="P45" s="13">
        <f>CA_DL(A45,B45,$P$2,$P$3,$P$4,$P$5,$P$6,$P$7,$P$8)+0.01</f>
        <v>0.95964144132033757</v>
      </c>
      <c r="Q45" s="13">
        <f>BinLik(D45,C45,P45)</f>
        <v>-0.41195562912887501</v>
      </c>
      <c r="R45" s="3" t="s">
        <v>31</v>
      </c>
      <c r="AD45">
        <f t="shared" si="19"/>
        <v>0.49035789593610252</v>
      </c>
      <c r="AE45">
        <f t="shared" si="18"/>
        <v>0.94226410095900737</v>
      </c>
      <c r="AF45" s="5"/>
      <c r="AG45" s="3"/>
      <c r="AH45" s="3"/>
      <c r="AI45" s="3"/>
      <c r="AJ45" s="3"/>
      <c r="AK45">
        <f t="shared" si="21"/>
        <v>0.11315951444679288</v>
      </c>
      <c r="AL45">
        <f t="shared" si="20"/>
        <v>0.95130651375866215</v>
      </c>
      <c r="AM45" s="3"/>
      <c r="AN45" s="3"/>
      <c r="AO45" s="3"/>
      <c r="AP45" s="3"/>
      <c r="AQ45" s="3"/>
      <c r="AR45" s="3"/>
    </row>
    <row r="46" spans="1:44" x14ac:dyDescent="0.3">
      <c r="A46" s="82">
        <v>0.25</v>
      </c>
      <c r="B46" s="12">
        <v>0</v>
      </c>
      <c r="C46" s="13">
        <v>8</v>
      </c>
      <c r="D46" s="13">
        <v>10</v>
      </c>
      <c r="E46" s="13">
        <f t="shared" ref="E46:E69" si="22">C46/D46</f>
        <v>0.8</v>
      </c>
      <c r="F46" s="13">
        <f t="shared" ref="F46:F69" si="23">CA(A46,B46,$F$2,$F$3,$F$4,$F$5,$F$6)+0.01</f>
        <v>0.96073584321679928</v>
      </c>
      <c r="G46" s="42">
        <f t="shared" ref="G46:G69" si="24">totalbinLik($G$23,D46,C46)</f>
        <v>-0.30916119232860295</v>
      </c>
      <c r="H46" s="13">
        <f t="shared" ref="H46:H69" si="25">BinLik(D46,C46,F46)</f>
        <v>-1.7913084777016886</v>
      </c>
      <c r="I46" s="13"/>
      <c r="J46" s="13">
        <f t="shared" ref="J46:J69" si="26">CA_SA(A46,B46,$J$2,$J$3,$J$4,$J$5,$J$6,$J$7)+0.01</f>
        <v>0.9598526211130457</v>
      </c>
      <c r="K46" s="13">
        <f t="shared" ref="K46:K69" si="27">BinLik(D46,C46,J46)</f>
        <v>-1.7541762199247224</v>
      </c>
      <c r="L46" s="13"/>
      <c r="M46" s="13">
        <f t="shared" ref="M46:M69" si="28">CA_DR(A46,B46,$M$2,$M$3,$M$4,$M$5,$M$6,$M$7,$M$8)+0.01</f>
        <v>0.95798444505323621</v>
      </c>
      <c r="N46" s="13">
        <f t="shared" ref="N46:N69" si="29">BinLik(D46,C46,M46)</f>
        <v>-1.6787964157106956</v>
      </c>
      <c r="O46" s="13"/>
      <c r="P46" s="13">
        <f t="shared" ref="P46:P69" si="30">CA_DL(A46,B46,$P$2,$P$3,$P$4,$P$5,$P$6,$P$7,$P$8)+0.01</f>
        <v>0.95964144132033757</v>
      </c>
      <c r="Q46" s="13">
        <f t="shared" ref="Q46:Q69" si="31">BinLik(D46,C46,P46)</f>
        <v>-1.7454438593980348</v>
      </c>
      <c r="R46" s="3"/>
      <c r="AD46">
        <f t="shared" si="19"/>
        <v>0.63746526471693332</v>
      </c>
      <c r="AE46">
        <f t="shared" si="18"/>
        <v>0.93909859407282525</v>
      </c>
      <c r="AF46" s="5"/>
      <c r="AG46" s="3"/>
      <c r="AH46" s="3"/>
      <c r="AI46" s="3"/>
      <c r="AJ46" s="3"/>
      <c r="AK46">
        <f t="shared" si="21"/>
        <v>0.14710736878083075</v>
      </c>
      <c r="AL46">
        <f t="shared" si="20"/>
        <v>0.94678560956750346</v>
      </c>
      <c r="AM46" s="3"/>
      <c r="AN46" s="3"/>
      <c r="AO46" s="3"/>
      <c r="AP46" s="3"/>
      <c r="AQ46" s="3"/>
      <c r="AR46" s="3"/>
    </row>
    <row r="47" spans="1:44" x14ac:dyDescent="0.3">
      <c r="A47" s="82">
        <v>0.25</v>
      </c>
      <c r="B47" s="12">
        <v>0</v>
      </c>
      <c r="C47" s="13">
        <v>10</v>
      </c>
      <c r="D47" s="13">
        <v>10</v>
      </c>
      <c r="E47" s="13">
        <f t="shared" si="22"/>
        <v>1</v>
      </c>
      <c r="F47" s="13">
        <f t="shared" si="23"/>
        <v>0.96073584321679928</v>
      </c>
      <c r="G47" s="42">
        <f t="shared" si="24"/>
        <v>-1.2080483808529943</v>
      </c>
      <c r="H47" s="13">
        <f t="shared" si="25"/>
        <v>-0.40055784783088305</v>
      </c>
      <c r="I47" s="13"/>
      <c r="J47" s="13">
        <f t="shared" si="26"/>
        <v>0.9598526211130457</v>
      </c>
      <c r="K47" s="13">
        <f t="shared" si="27"/>
        <v>-0.40975525979517202</v>
      </c>
      <c r="L47" s="13"/>
      <c r="M47" s="13">
        <f t="shared" si="28"/>
        <v>0.95798444505323621</v>
      </c>
      <c r="N47" s="13">
        <f t="shared" si="29"/>
        <v>-0.42923738039509474</v>
      </c>
      <c r="O47" s="13"/>
      <c r="P47" s="13">
        <f t="shared" si="30"/>
        <v>0.95964144132033757</v>
      </c>
      <c r="Q47" s="13">
        <f t="shared" si="31"/>
        <v>-0.41195562912887501</v>
      </c>
      <c r="R47" s="3"/>
      <c r="AD47">
        <f t="shared" si="19"/>
        <v>0.82870484413201329</v>
      </c>
      <c r="AE47">
        <f t="shared" si="18"/>
        <v>0.93523089304165563</v>
      </c>
      <c r="AF47" s="5"/>
      <c r="AG47" s="3"/>
      <c r="AH47" s="3"/>
      <c r="AI47" s="3"/>
      <c r="AJ47" s="3"/>
      <c r="AK47">
        <f t="shared" si="21"/>
        <v>0.19123957941507999</v>
      </c>
      <c r="AL47">
        <f t="shared" si="20"/>
        <v>0.93818093598981589</v>
      </c>
      <c r="AM47" s="3"/>
      <c r="AN47" s="3"/>
      <c r="AO47" s="3"/>
      <c r="AP47" s="3"/>
      <c r="AQ47" s="3"/>
      <c r="AR47" s="3"/>
    </row>
    <row r="48" spans="1:44" x14ac:dyDescent="0.3">
      <c r="A48" s="82">
        <v>0.25</v>
      </c>
      <c r="B48" s="12">
        <v>0</v>
      </c>
      <c r="C48" s="13">
        <v>10</v>
      </c>
      <c r="D48" s="13">
        <v>10</v>
      </c>
      <c r="E48" s="13">
        <f t="shared" si="22"/>
        <v>1</v>
      </c>
      <c r="F48" s="13">
        <f t="shared" si="23"/>
        <v>0.96073584321679928</v>
      </c>
      <c r="G48" s="42">
        <f t="shared" si="24"/>
        <v>-1.2080483808529943</v>
      </c>
      <c r="H48" s="13">
        <f t="shared" si="25"/>
        <v>-0.40055784783088305</v>
      </c>
      <c r="I48" s="13"/>
      <c r="J48" s="13">
        <f t="shared" si="26"/>
        <v>0.9598526211130457</v>
      </c>
      <c r="K48" s="13">
        <f t="shared" si="27"/>
        <v>-0.40975525979517202</v>
      </c>
      <c r="L48" s="13"/>
      <c r="M48" s="13">
        <f t="shared" si="28"/>
        <v>0.95798444505323621</v>
      </c>
      <c r="N48" s="13">
        <f t="shared" si="29"/>
        <v>-0.42923738039509474</v>
      </c>
      <c r="O48" s="13"/>
      <c r="P48" s="13">
        <f t="shared" si="30"/>
        <v>0.95964144132033757</v>
      </c>
      <c r="Q48" s="13">
        <f t="shared" si="31"/>
        <v>-0.41195562912887501</v>
      </c>
      <c r="R48" s="3"/>
      <c r="AD48">
        <f t="shared" si="19"/>
        <v>1.0773162973716173</v>
      </c>
      <c r="AE48">
        <f t="shared" si="18"/>
        <v>0.93051322162697259</v>
      </c>
      <c r="AF48" s="5"/>
      <c r="AG48" s="3"/>
      <c r="AH48" s="3"/>
      <c r="AI48" s="3"/>
      <c r="AJ48" s="3"/>
      <c r="AK48">
        <f t="shared" si="21"/>
        <v>0.24861145323960399</v>
      </c>
      <c r="AL48">
        <f t="shared" si="20"/>
        <v>0.92200904167339226</v>
      </c>
      <c r="AM48" s="3"/>
      <c r="AN48" s="3"/>
      <c r="AO48" s="3"/>
      <c r="AP48" s="3"/>
      <c r="AQ48" s="3"/>
      <c r="AR48" s="3"/>
    </row>
    <row r="49" spans="1:44" x14ac:dyDescent="0.3">
      <c r="A49" s="82">
        <v>0.25</v>
      </c>
      <c r="B49" s="12">
        <v>0</v>
      </c>
      <c r="C49" s="13">
        <v>10</v>
      </c>
      <c r="D49" s="13">
        <v>10</v>
      </c>
      <c r="E49" s="13">
        <f t="shared" si="22"/>
        <v>1</v>
      </c>
      <c r="F49" s="13">
        <f t="shared" si="23"/>
        <v>0.96073584321679928</v>
      </c>
      <c r="G49" s="42">
        <f t="shared" si="24"/>
        <v>-1.2080483808529943</v>
      </c>
      <c r="H49" s="13">
        <f t="shared" si="25"/>
        <v>-0.40055784783088305</v>
      </c>
      <c r="I49" s="13"/>
      <c r="J49" s="13">
        <f t="shared" si="26"/>
        <v>0.9598526211130457</v>
      </c>
      <c r="K49" s="13">
        <f t="shared" si="27"/>
        <v>-0.40975525979517202</v>
      </c>
      <c r="L49" s="13"/>
      <c r="M49" s="13">
        <f t="shared" si="28"/>
        <v>0.95798444505323621</v>
      </c>
      <c r="N49" s="13">
        <f t="shared" si="29"/>
        <v>-0.42923738039509474</v>
      </c>
      <c r="O49" s="13"/>
      <c r="P49" s="13">
        <f t="shared" si="30"/>
        <v>0.95964144132033757</v>
      </c>
      <c r="Q49" s="13">
        <f t="shared" si="31"/>
        <v>-0.41195562912887501</v>
      </c>
      <c r="R49" s="3"/>
      <c r="AD49">
        <f t="shared" si="19"/>
        <v>1.4005111865831026</v>
      </c>
      <c r="AE49">
        <f t="shared" si="18"/>
        <v>0.924770651359338</v>
      </c>
      <c r="AF49" s="5"/>
      <c r="AG49" s="3"/>
      <c r="AH49" s="3"/>
      <c r="AI49" s="3"/>
      <c r="AJ49" s="3"/>
      <c r="AK49">
        <f t="shared" si="21"/>
        <v>0.3231948892114852</v>
      </c>
      <c r="AL49">
        <f t="shared" si="20"/>
        <v>0.8923238567870142</v>
      </c>
      <c r="AM49" s="3"/>
      <c r="AN49" s="3"/>
      <c r="AO49" s="3"/>
      <c r="AP49" s="3"/>
      <c r="AQ49" s="3"/>
      <c r="AR49" s="3"/>
    </row>
    <row r="50" spans="1:44" x14ac:dyDescent="0.3">
      <c r="A50" s="82">
        <v>0.5</v>
      </c>
      <c r="B50" s="12">
        <v>0</v>
      </c>
      <c r="C50" s="13">
        <v>10</v>
      </c>
      <c r="D50" s="13">
        <v>10</v>
      </c>
      <c r="E50" s="13">
        <f t="shared" si="22"/>
        <v>1</v>
      </c>
      <c r="F50" s="13">
        <f t="shared" si="23"/>
        <v>0.95668395813227158</v>
      </c>
      <c r="G50" s="42">
        <f t="shared" si="24"/>
        <v>-1.2080483808529943</v>
      </c>
      <c r="H50" s="13">
        <f t="shared" si="25"/>
        <v>-0.44282184357202514</v>
      </c>
      <c r="I50" s="13"/>
      <c r="J50" s="13">
        <f t="shared" si="26"/>
        <v>0.9546852903984776</v>
      </c>
      <c r="K50" s="13">
        <f t="shared" si="27"/>
        <v>-0.46373531661027029</v>
      </c>
      <c r="L50" s="13"/>
      <c r="M50" s="13">
        <f t="shared" si="28"/>
        <v>0.95205042003521922</v>
      </c>
      <c r="N50" s="13">
        <f t="shared" si="29"/>
        <v>-0.49137283371351759</v>
      </c>
      <c r="O50" s="13"/>
      <c r="P50" s="13">
        <f t="shared" si="30"/>
        <v>0.95440695012498922</v>
      </c>
      <c r="Q50" s="13">
        <f t="shared" si="31"/>
        <v>-0.46665126031956194</v>
      </c>
      <c r="R50" s="3"/>
      <c r="AD50">
        <f t="shared" si="19"/>
        <v>1.8206645425580334</v>
      </c>
      <c r="AE50">
        <f t="shared" si="18"/>
        <v>0.91779805798562719</v>
      </c>
      <c r="AF50" s="5"/>
      <c r="AG50" s="3"/>
      <c r="AH50" s="3"/>
      <c r="AI50" s="3"/>
      <c r="AJ50" s="3"/>
      <c r="AK50">
        <f t="shared" si="21"/>
        <v>0.42015335597493081</v>
      </c>
      <c r="AL50">
        <f t="shared" si="20"/>
        <v>0.84012155321055093</v>
      </c>
      <c r="AM50" s="3"/>
      <c r="AN50" s="3"/>
      <c r="AO50" s="3"/>
      <c r="AP50" s="3"/>
      <c r="AQ50" s="3"/>
      <c r="AR50" s="3"/>
    </row>
    <row r="51" spans="1:44" x14ac:dyDescent="0.3">
      <c r="A51" s="82">
        <v>0.5</v>
      </c>
      <c r="B51" s="12">
        <v>0</v>
      </c>
      <c r="C51" s="13">
        <v>9</v>
      </c>
      <c r="D51" s="13">
        <v>10</v>
      </c>
      <c r="E51" s="13">
        <f t="shared" si="22"/>
        <v>0.9</v>
      </c>
      <c r="F51" s="13">
        <f t="shared" si="23"/>
        <v>0.95668395813227158</v>
      </c>
      <c r="G51" s="42">
        <f t="shared" si="24"/>
        <v>-9.7871703672560983E-3</v>
      </c>
      <c r="H51" s="13">
        <f t="shared" si="25"/>
        <v>-0.28694215595183725</v>
      </c>
      <c r="I51" s="13"/>
      <c r="J51" s="13">
        <f t="shared" si="26"/>
        <v>0.9546852903984776</v>
      </c>
      <c r="K51" s="13">
        <f t="shared" si="27"/>
        <v>-0.26065563497110622</v>
      </c>
      <c r="L51" s="13"/>
      <c r="M51" s="13">
        <f t="shared" si="28"/>
        <v>0.95205042003521922</v>
      </c>
      <c r="N51" s="13">
        <f t="shared" si="29"/>
        <v>-0.22901105397732702</v>
      </c>
      <c r="O51" s="13"/>
      <c r="P51" s="13">
        <f t="shared" si="30"/>
        <v>0.95440695012498922</v>
      </c>
      <c r="Q51" s="13">
        <f t="shared" si="31"/>
        <v>-0.25715638947296304</v>
      </c>
      <c r="R51" s="3"/>
      <c r="AD51">
        <f t="shared" si="19"/>
        <v>2.3668639053254434</v>
      </c>
      <c r="AE51">
        <f t="shared" si="18"/>
        <v>0.90935774589245455</v>
      </c>
      <c r="AF51" s="5"/>
      <c r="AG51" s="3"/>
      <c r="AH51" s="3"/>
      <c r="AI51" s="3"/>
      <c r="AJ51" s="3"/>
      <c r="AK51">
        <f t="shared" si="21"/>
        <v>0.5461993627674101</v>
      </c>
      <c r="AL51">
        <f t="shared" si="20"/>
        <v>0.75489116451492155</v>
      </c>
      <c r="AM51" s="3"/>
      <c r="AN51" s="3"/>
      <c r="AO51" s="3"/>
      <c r="AP51" s="3"/>
      <c r="AQ51" s="3"/>
      <c r="AR51" s="3"/>
    </row>
    <row r="52" spans="1:44" x14ac:dyDescent="0.3">
      <c r="A52" s="82">
        <v>0.5</v>
      </c>
      <c r="B52" s="12">
        <v>0</v>
      </c>
      <c r="C52" s="13">
        <v>10</v>
      </c>
      <c r="D52" s="13">
        <v>10</v>
      </c>
      <c r="E52" s="13">
        <f t="shared" si="22"/>
        <v>1</v>
      </c>
      <c r="F52" s="13">
        <f t="shared" si="23"/>
        <v>0.95668395813227158</v>
      </c>
      <c r="G52" s="42">
        <f t="shared" si="24"/>
        <v>-1.2080483808529943</v>
      </c>
      <c r="H52" s="13">
        <f t="shared" si="25"/>
        <v>-0.44282184357202514</v>
      </c>
      <c r="I52" s="13"/>
      <c r="J52" s="13">
        <f t="shared" si="26"/>
        <v>0.9546852903984776</v>
      </c>
      <c r="K52" s="13">
        <f t="shared" si="27"/>
        <v>-0.46373531661027029</v>
      </c>
      <c r="L52" s="13"/>
      <c r="M52" s="13">
        <f t="shared" si="28"/>
        <v>0.95205042003521922</v>
      </c>
      <c r="N52" s="13">
        <f t="shared" si="29"/>
        <v>-0.49137283371351759</v>
      </c>
      <c r="O52" s="13"/>
      <c r="P52" s="13">
        <f t="shared" si="30"/>
        <v>0.95440695012498922</v>
      </c>
      <c r="Q52" s="13">
        <f t="shared" si="31"/>
        <v>-0.46665126031956194</v>
      </c>
      <c r="R52" s="3"/>
      <c r="AD52">
        <f t="shared" si="19"/>
        <v>3.0769230769230766</v>
      </c>
      <c r="AE52">
        <f t="shared" si="18"/>
        <v>0.89917838146210416</v>
      </c>
      <c r="AF52" s="5"/>
      <c r="AG52" s="3"/>
      <c r="AH52" s="3"/>
      <c r="AI52" s="3"/>
      <c r="AJ52" s="3"/>
      <c r="AK52">
        <f t="shared" si="21"/>
        <v>0.7100591715976331</v>
      </c>
      <c r="AL52">
        <f t="shared" si="20"/>
        <v>0.63128960659017819</v>
      </c>
      <c r="AM52" s="3"/>
      <c r="AN52" s="3"/>
      <c r="AO52" s="3"/>
      <c r="AP52" s="3"/>
      <c r="AQ52" s="3"/>
      <c r="AR52" s="3"/>
    </row>
    <row r="53" spans="1:44" x14ac:dyDescent="0.3">
      <c r="A53" s="82">
        <v>0.5</v>
      </c>
      <c r="B53" s="12">
        <v>0</v>
      </c>
      <c r="C53" s="13">
        <v>9</v>
      </c>
      <c r="D53" s="13">
        <v>10</v>
      </c>
      <c r="E53" s="13">
        <f t="shared" si="22"/>
        <v>0.9</v>
      </c>
      <c r="F53" s="13">
        <f t="shared" si="23"/>
        <v>0.95668395813227158</v>
      </c>
      <c r="G53" s="42">
        <f t="shared" si="24"/>
        <v>-9.7871703672560983E-3</v>
      </c>
      <c r="H53" s="13">
        <f t="shared" si="25"/>
        <v>-0.28694215595183725</v>
      </c>
      <c r="I53" s="13"/>
      <c r="J53" s="13">
        <f t="shared" si="26"/>
        <v>0.9546852903984776</v>
      </c>
      <c r="K53" s="13">
        <f t="shared" si="27"/>
        <v>-0.26065563497110622</v>
      </c>
      <c r="L53" s="13"/>
      <c r="M53" s="13">
        <f t="shared" si="28"/>
        <v>0.95205042003521922</v>
      </c>
      <c r="N53" s="13">
        <f t="shared" si="29"/>
        <v>-0.22901105397732702</v>
      </c>
      <c r="O53" s="13"/>
      <c r="P53" s="13">
        <f t="shared" si="30"/>
        <v>0.95440695012498922</v>
      </c>
      <c r="Q53" s="13">
        <f t="shared" si="31"/>
        <v>-0.25715638947296304</v>
      </c>
      <c r="R53" s="3"/>
      <c r="AD53">
        <f>$AD$2</f>
        <v>4</v>
      </c>
      <c r="AE53">
        <f t="shared" si="18"/>
        <v>0.88695612300513249</v>
      </c>
      <c r="AF53" s="5"/>
      <c r="AG53" s="3"/>
      <c r="AH53" s="3"/>
      <c r="AI53" s="3"/>
      <c r="AJ53" s="3"/>
      <c r="AK53">
        <f t="shared" si="21"/>
        <v>0.92307692307692302</v>
      </c>
      <c r="AL53">
        <f t="shared" si="20"/>
        <v>0.47970454649767824</v>
      </c>
      <c r="AM53" s="3"/>
      <c r="AN53" s="3"/>
      <c r="AO53" s="3"/>
      <c r="AP53" s="3"/>
      <c r="AQ53" s="3"/>
      <c r="AR53" s="3"/>
    </row>
    <row r="54" spans="1:44" x14ac:dyDescent="0.3">
      <c r="A54" s="82">
        <v>0.5</v>
      </c>
      <c r="B54" s="12">
        <v>0</v>
      </c>
      <c r="C54" s="13">
        <v>9</v>
      </c>
      <c r="D54" s="13">
        <v>10</v>
      </c>
      <c r="E54" s="13">
        <f t="shared" si="22"/>
        <v>0.9</v>
      </c>
      <c r="F54" s="13">
        <f t="shared" si="23"/>
        <v>0.95668395813227158</v>
      </c>
      <c r="G54" s="42">
        <f t="shared" si="24"/>
        <v>-9.7871703672560983E-3</v>
      </c>
      <c r="H54" s="13">
        <f t="shared" si="25"/>
        <v>-0.28694215595183725</v>
      </c>
      <c r="I54" s="13"/>
      <c r="J54" s="13">
        <f t="shared" si="26"/>
        <v>0.9546852903984776</v>
      </c>
      <c r="K54" s="13">
        <f t="shared" si="27"/>
        <v>-0.26065563497110622</v>
      </c>
      <c r="L54" s="13"/>
      <c r="M54" s="13">
        <f t="shared" si="28"/>
        <v>0.95205042003521922</v>
      </c>
      <c r="N54" s="13">
        <f t="shared" si="29"/>
        <v>-0.22901105397732702</v>
      </c>
      <c r="O54" s="13"/>
      <c r="P54" s="13">
        <f t="shared" si="30"/>
        <v>0.95440695012498922</v>
      </c>
      <c r="Q54" s="13">
        <f t="shared" si="31"/>
        <v>-0.25715638947296304</v>
      </c>
      <c r="R54" s="3"/>
      <c r="AD54" s="5">
        <f>AD53*$AF$1</f>
        <v>5.2</v>
      </c>
      <c r="AE54" s="5">
        <f t="shared" si="18"/>
        <v>0.87235909852873317</v>
      </c>
      <c r="AF54" s="5"/>
      <c r="AG54" s="3"/>
      <c r="AH54" s="3"/>
      <c r="AI54" s="3"/>
      <c r="AJ54" s="3"/>
      <c r="AK54">
        <f>$AL$2</f>
        <v>1.2</v>
      </c>
      <c r="AL54">
        <f t="shared" si="20"/>
        <v>0.32779787257047338</v>
      </c>
      <c r="AM54" s="3"/>
      <c r="AN54" s="3"/>
      <c r="AO54" s="3"/>
      <c r="AP54" s="3"/>
      <c r="AQ54" s="3"/>
      <c r="AR54" s="3"/>
    </row>
    <row r="55" spans="1:44" x14ac:dyDescent="0.3">
      <c r="A55" s="82">
        <v>1</v>
      </c>
      <c r="B55" s="12">
        <v>0</v>
      </c>
      <c r="C55" s="13">
        <v>10</v>
      </c>
      <c r="D55" s="13">
        <v>10</v>
      </c>
      <c r="E55" s="13">
        <f t="shared" si="22"/>
        <v>1</v>
      </c>
      <c r="F55" s="13">
        <f t="shared" si="23"/>
        <v>0.94931394602294383</v>
      </c>
      <c r="G55" s="42">
        <f t="shared" si="24"/>
        <v>-1.2080483808529943</v>
      </c>
      <c r="H55" s="13">
        <f t="shared" si="25"/>
        <v>-0.52015717353306212</v>
      </c>
      <c r="I55" s="13"/>
      <c r="J55" s="13">
        <f t="shared" si="26"/>
        <v>0.94566922800604614</v>
      </c>
      <c r="K55" s="13">
        <f t="shared" si="27"/>
        <v>-0.55862424343780892</v>
      </c>
      <c r="L55" s="13"/>
      <c r="M55" s="13">
        <f t="shared" si="28"/>
        <v>0.94194837261102626</v>
      </c>
      <c r="N55" s="13">
        <f t="shared" si="29"/>
        <v>-0.59804812053093026</v>
      </c>
      <c r="O55" s="13"/>
      <c r="P55" s="13">
        <f t="shared" si="30"/>
        <v>0.94529451064834957</v>
      </c>
      <c r="Q55" s="13">
        <f t="shared" si="31"/>
        <v>-0.56258748561894178</v>
      </c>
      <c r="R55" s="3"/>
      <c r="AD55" s="5"/>
      <c r="AE55" s="5"/>
      <c r="AF55" s="5"/>
      <c r="AG55" s="3"/>
      <c r="AH55" s="3"/>
      <c r="AI55" s="3"/>
      <c r="AJ55" s="3"/>
      <c r="AK55" s="3">
        <f>AK54*$AO$1</f>
        <v>1.56</v>
      </c>
      <c r="AL55" s="3">
        <f t="shared" si="20"/>
        <v>0.20345616319170415</v>
      </c>
      <c r="AM55" s="3"/>
      <c r="AN55" s="3"/>
      <c r="AO55" s="3"/>
      <c r="AP55" s="3"/>
      <c r="AQ55" s="3"/>
      <c r="AR55" s="3"/>
    </row>
    <row r="56" spans="1:44" x14ac:dyDescent="0.3">
      <c r="A56" s="82">
        <v>1</v>
      </c>
      <c r="B56" s="12">
        <v>0</v>
      </c>
      <c r="C56" s="13">
        <v>9</v>
      </c>
      <c r="D56" s="13">
        <v>10</v>
      </c>
      <c r="E56" s="13">
        <f t="shared" si="22"/>
        <v>0.9</v>
      </c>
      <c r="F56" s="13">
        <f t="shared" si="23"/>
        <v>0.94931394602294383</v>
      </c>
      <c r="G56" s="42">
        <f t="shared" si="24"/>
        <v>-9.7871703672560983E-3</v>
      </c>
      <c r="H56" s="13">
        <f t="shared" si="25"/>
        <v>-0.19941619797489402</v>
      </c>
      <c r="I56" s="13"/>
      <c r="J56" s="13">
        <f t="shared" si="26"/>
        <v>0.94566922800604614</v>
      </c>
      <c r="K56" s="13">
        <f t="shared" si="27"/>
        <v>-0.16459659434978557</v>
      </c>
      <c r="L56" s="13"/>
      <c r="M56" s="13">
        <f t="shared" si="28"/>
        <v>0.94194837261102626</v>
      </c>
      <c r="N56" s="13">
        <f t="shared" si="29"/>
        <v>-0.13383611153143027</v>
      </c>
      <c r="O56" s="13"/>
      <c r="P56" s="13">
        <f t="shared" si="30"/>
        <v>0.94529451064834957</v>
      </c>
      <c r="Q56" s="13">
        <f t="shared" si="31"/>
        <v>-0.16129022395398296</v>
      </c>
      <c r="R56" s="3"/>
      <c r="AD56" s="5"/>
      <c r="AE56" s="5"/>
      <c r="AF56" s="5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</row>
    <row r="57" spans="1:44" x14ac:dyDescent="0.3">
      <c r="A57" s="82">
        <v>1</v>
      </c>
      <c r="B57" s="12">
        <v>0</v>
      </c>
      <c r="C57" s="13">
        <v>8</v>
      </c>
      <c r="D57" s="13">
        <v>10</v>
      </c>
      <c r="E57" s="13">
        <f t="shared" si="22"/>
        <v>0.8</v>
      </c>
      <c r="F57" s="13">
        <f t="shared" si="23"/>
        <v>0.94931394602294383</v>
      </c>
      <c r="G57" s="42">
        <f t="shared" si="24"/>
        <v>-0.30916119232860295</v>
      </c>
      <c r="H57" s="13">
        <f t="shared" si="25"/>
        <v>-1.3763104548638132</v>
      </c>
      <c r="I57" s="13"/>
      <c r="J57" s="13">
        <f t="shared" si="26"/>
        <v>0.94566922800604614</v>
      </c>
      <c r="K57" s="13">
        <f t="shared" si="27"/>
        <v>-1.2682041777088477</v>
      </c>
      <c r="L57" s="13"/>
      <c r="M57" s="13">
        <f t="shared" si="28"/>
        <v>0.94194837261102626</v>
      </c>
      <c r="N57" s="13">
        <f t="shared" si="29"/>
        <v>-1.1672593349790175</v>
      </c>
      <c r="O57" s="13"/>
      <c r="P57" s="13">
        <f t="shared" si="30"/>
        <v>0.94529451064834957</v>
      </c>
      <c r="Q57" s="13">
        <f t="shared" si="31"/>
        <v>-1.2576281947361103</v>
      </c>
      <c r="R57" s="3"/>
      <c r="AD57" s="5"/>
      <c r="AE57" s="5"/>
      <c r="AF57" s="5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</row>
    <row r="58" spans="1:44" x14ac:dyDescent="0.3">
      <c r="A58" s="82">
        <v>1</v>
      </c>
      <c r="B58" s="12">
        <v>0</v>
      </c>
      <c r="C58" s="13">
        <v>10</v>
      </c>
      <c r="D58" s="13">
        <v>10</v>
      </c>
      <c r="E58" s="13">
        <f t="shared" si="22"/>
        <v>1</v>
      </c>
      <c r="F58" s="13">
        <f t="shared" si="23"/>
        <v>0.94931394602294383</v>
      </c>
      <c r="G58" s="42">
        <f t="shared" si="24"/>
        <v>-1.2080483808529943</v>
      </c>
      <c r="H58" s="13">
        <f t="shared" si="25"/>
        <v>-0.52015717353306212</v>
      </c>
      <c r="I58" s="13"/>
      <c r="J58" s="13">
        <f t="shared" si="26"/>
        <v>0.94566922800604614</v>
      </c>
      <c r="K58" s="13">
        <f t="shared" si="27"/>
        <v>-0.55862424343780892</v>
      </c>
      <c r="L58" s="13"/>
      <c r="M58" s="13">
        <f t="shared" si="28"/>
        <v>0.94194837261102626</v>
      </c>
      <c r="N58" s="13">
        <f t="shared" si="29"/>
        <v>-0.59804812053093026</v>
      </c>
      <c r="O58" s="13"/>
      <c r="P58" s="13">
        <f t="shared" si="30"/>
        <v>0.94529451064834957</v>
      </c>
      <c r="Q58" s="13">
        <f t="shared" si="31"/>
        <v>-0.56258748561894178</v>
      </c>
      <c r="R58" s="3"/>
      <c r="AF58" s="5"/>
      <c r="AG58" s="3"/>
      <c r="AH58" s="3"/>
      <c r="AI58" s="3"/>
      <c r="AJ58" s="3"/>
      <c r="AM58" s="3"/>
      <c r="AN58" s="3"/>
      <c r="AO58" s="3"/>
      <c r="AP58" s="3"/>
      <c r="AQ58" s="3"/>
      <c r="AR58" s="3"/>
    </row>
    <row r="59" spans="1:44" x14ac:dyDescent="0.3">
      <c r="A59" s="82">
        <v>1</v>
      </c>
      <c r="B59" s="12">
        <v>0</v>
      </c>
      <c r="C59" s="13">
        <v>10</v>
      </c>
      <c r="D59" s="13">
        <v>10</v>
      </c>
      <c r="E59" s="13">
        <f t="shared" si="22"/>
        <v>1</v>
      </c>
      <c r="F59" s="13">
        <f t="shared" si="23"/>
        <v>0.94931394602294383</v>
      </c>
      <c r="G59" s="42">
        <f t="shared" si="24"/>
        <v>-1.2080483808529943</v>
      </c>
      <c r="H59" s="13">
        <f t="shared" si="25"/>
        <v>-0.52015717353306212</v>
      </c>
      <c r="I59" s="13"/>
      <c r="J59" s="13">
        <f t="shared" si="26"/>
        <v>0.94566922800604614</v>
      </c>
      <c r="K59" s="13">
        <f t="shared" si="27"/>
        <v>-0.55862424343780892</v>
      </c>
      <c r="L59" s="13"/>
      <c r="M59" s="13">
        <f t="shared" si="28"/>
        <v>0.94194837261102626</v>
      </c>
      <c r="N59" s="13">
        <f t="shared" si="29"/>
        <v>-0.59804812053093026</v>
      </c>
      <c r="O59" s="13"/>
      <c r="P59" s="13">
        <f t="shared" si="30"/>
        <v>0.94529451064834957</v>
      </c>
      <c r="Q59" s="13">
        <f t="shared" si="31"/>
        <v>-0.56258748561894178</v>
      </c>
      <c r="R59" s="3"/>
      <c r="AD59">
        <v>0</v>
      </c>
      <c r="AE59">
        <f t="shared" ref="AE59:AE71" si="32">$P$2/(1+(AD59/$P$5)^$P$3)</f>
        <v>0.95654886929596616</v>
      </c>
      <c r="AF59" s="5"/>
      <c r="AG59" s="3"/>
      <c r="AH59" s="3"/>
      <c r="AI59" s="3"/>
      <c r="AJ59" s="3"/>
      <c r="AK59">
        <v>0</v>
      </c>
      <c r="AL59">
        <f t="shared" ref="AL59:AL71" si="33">$P$2/(1+(AK59/$P$6)^$P$4)</f>
        <v>0.95654886929596616</v>
      </c>
      <c r="AM59" s="3"/>
      <c r="AN59" s="3"/>
      <c r="AO59" s="3"/>
      <c r="AP59" s="3"/>
      <c r="AQ59" s="3"/>
      <c r="AR59" s="3"/>
    </row>
    <row r="60" spans="1:44" x14ac:dyDescent="0.3">
      <c r="A60" s="82">
        <v>2</v>
      </c>
      <c r="B60" s="12">
        <v>0</v>
      </c>
      <c r="C60" s="13">
        <v>10</v>
      </c>
      <c r="D60" s="13">
        <v>10</v>
      </c>
      <c r="E60" s="13">
        <f t="shared" si="22"/>
        <v>1</v>
      </c>
      <c r="F60" s="13">
        <f t="shared" si="23"/>
        <v>0.93604141431165067</v>
      </c>
      <c r="G60" s="42">
        <f t="shared" si="24"/>
        <v>-1.2080483808529943</v>
      </c>
      <c r="H60" s="13">
        <f t="shared" si="25"/>
        <v>-0.66095557423917173</v>
      </c>
      <c r="I60" s="13"/>
      <c r="J60" s="13">
        <f t="shared" si="26"/>
        <v>0.9301147205422674</v>
      </c>
      <c r="K60" s="13">
        <f t="shared" si="27"/>
        <v>-0.7244734502069694</v>
      </c>
      <c r="L60" s="13"/>
      <c r="M60" s="13">
        <f t="shared" si="28"/>
        <v>0.92495788869701412</v>
      </c>
      <c r="N60" s="13">
        <f t="shared" si="29"/>
        <v>-0.7800706823899719</v>
      </c>
      <c r="O60" s="13"/>
      <c r="P60" s="13">
        <f t="shared" si="30"/>
        <v>0.92961072258361377</v>
      </c>
      <c r="Q60" s="13">
        <f t="shared" si="31"/>
        <v>-0.72989358330086462</v>
      </c>
      <c r="R60" s="3"/>
      <c r="AD60">
        <f t="shared" ref="AD60:AD69" si="34">AD61/$AF$1</f>
        <v>0.2901526011456228</v>
      </c>
      <c r="AE60">
        <f t="shared" si="32"/>
        <v>0.94874941284839065</v>
      </c>
      <c r="AF60" s="5"/>
      <c r="AG60" s="3"/>
      <c r="AH60" s="3"/>
      <c r="AI60" s="3"/>
      <c r="AJ60" s="3"/>
      <c r="AK60">
        <f t="shared" ref="AK60:AK69" si="35">AK61/$AO$1</f>
        <v>8.7045780343686832E-2</v>
      </c>
      <c r="AL60">
        <f t="shared" si="33"/>
        <v>0.95305704618670273</v>
      </c>
      <c r="AM60" s="3"/>
      <c r="AN60" s="3"/>
      <c r="AO60" s="3"/>
      <c r="AP60" s="3"/>
      <c r="AQ60" s="3"/>
      <c r="AR60" s="3"/>
    </row>
    <row r="61" spans="1:44" x14ac:dyDescent="0.3">
      <c r="A61" s="82">
        <v>2</v>
      </c>
      <c r="B61" s="12">
        <v>0</v>
      </c>
      <c r="C61" s="13">
        <v>10</v>
      </c>
      <c r="D61" s="13">
        <v>10</v>
      </c>
      <c r="E61" s="13">
        <f t="shared" si="22"/>
        <v>1</v>
      </c>
      <c r="F61" s="13">
        <f t="shared" si="23"/>
        <v>0.93604141431165067</v>
      </c>
      <c r="G61" s="42">
        <f t="shared" si="24"/>
        <v>-1.2080483808529943</v>
      </c>
      <c r="H61" s="13">
        <f t="shared" si="25"/>
        <v>-0.66095557423917173</v>
      </c>
      <c r="I61" s="13"/>
      <c r="J61" s="13">
        <f t="shared" si="26"/>
        <v>0.9301147205422674</v>
      </c>
      <c r="K61" s="13">
        <f t="shared" si="27"/>
        <v>-0.7244734502069694</v>
      </c>
      <c r="L61" s="13"/>
      <c r="M61" s="13">
        <f t="shared" si="28"/>
        <v>0.92495788869701412</v>
      </c>
      <c r="N61" s="13">
        <f t="shared" si="29"/>
        <v>-0.7800706823899719</v>
      </c>
      <c r="O61" s="13"/>
      <c r="P61" s="13">
        <f t="shared" si="30"/>
        <v>0.92961072258361377</v>
      </c>
      <c r="Q61" s="13">
        <f t="shared" si="31"/>
        <v>-0.72989358330086462</v>
      </c>
      <c r="R61" s="3"/>
      <c r="AD61">
        <f t="shared" si="34"/>
        <v>0.37719838148930962</v>
      </c>
      <c r="AE61">
        <f t="shared" si="32"/>
        <v>0.94689178246838657</v>
      </c>
      <c r="AF61" s="5"/>
      <c r="AG61" s="3"/>
      <c r="AH61" s="3"/>
      <c r="AI61" s="3"/>
      <c r="AJ61" s="3"/>
      <c r="AK61">
        <f t="shared" si="35"/>
        <v>0.11315951444679288</v>
      </c>
      <c r="AL61">
        <f t="shared" si="33"/>
        <v>0.94999891811403214</v>
      </c>
      <c r="AM61" s="3"/>
      <c r="AN61" s="3"/>
      <c r="AO61" s="3"/>
      <c r="AP61" s="3"/>
      <c r="AQ61" s="3"/>
      <c r="AR61" s="3"/>
    </row>
    <row r="62" spans="1:44" x14ac:dyDescent="0.3">
      <c r="A62" s="82">
        <v>2</v>
      </c>
      <c r="B62" s="12">
        <v>0</v>
      </c>
      <c r="C62" s="13">
        <v>9</v>
      </c>
      <c r="D62" s="13">
        <v>10</v>
      </c>
      <c r="E62" s="13">
        <f t="shared" si="22"/>
        <v>0.9</v>
      </c>
      <c r="F62" s="13">
        <f t="shared" si="23"/>
        <v>0.93604141431165067</v>
      </c>
      <c r="G62" s="42">
        <f t="shared" si="24"/>
        <v>-9.7871703672560983E-3</v>
      </c>
      <c r="H62" s="13">
        <f t="shared" si="25"/>
        <v>-9.3549786601455576E-2</v>
      </c>
      <c r="I62" s="13"/>
      <c r="J62" s="13">
        <f t="shared" si="26"/>
        <v>0.9301147205422674</v>
      </c>
      <c r="K62" s="13">
        <f t="shared" si="27"/>
        <v>-6.2096617502236162E-2</v>
      </c>
      <c r="L62" s="13"/>
      <c r="M62" s="13">
        <f t="shared" si="28"/>
        <v>0.92495788869701412</v>
      </c>
      <c r="N62" s="13">
        <f t="shared" si="29"/>
        <v>-4.0939719215691117E-2</v>
      </c>
      <c r="O62" s="13"/>
      <c r="P62" s="13">
        <f t="shared" si="30"/>
        <v>0.92961072258361377</v>
      </c>
      <c r="Q62" s="13">
        <f t="shared" si="31"/>
        <v>-5.9788827901027353E-2</v>
      </c>
      <c r="R62" s="3"/>
      <c r="AD62">
        <f t="shared" si="34"/>
        <v>0.49035789593610252</v>
      </c>
      <c r="AE62">
        <f t="shared" si="32"/>
        <v>0.94459728570403323</v>
      </c>
      <c r="AF62" s="5"/>
      <c r="AG62" s="3"/>
      <c r="AH62" s="3"/>
      <c r="AI62" s="3"/>
      <c r="AJ62" s="3"/>
      <c r="AK62">
        <f t="shared" si="35"/>
        <v>0.14710736878083075</v>
      </c>
      <c r="AL62">
        <f t="shared" si="33"/>
        <v>0.94429692142439803</v>
      </c>
      <c r="AM62" s="3"/>
      <c r="AN62" s="3"/>
      <c r="AO62" s="3"/>
      <c r="AP62" s="3"/>
      <c r="AQ62" s="3"/>
      <c r="AR62" s="3"/>
    </row>
    <row r="63" spans="1:44" x14ac:dyDescent="0.3">
      <c r="A63" s="82">
        <v>2</v>
      </c>
      <c r="B63" s="12">
        <v>0</v>
      </c>
      <c r="C63" s="13">
        <v>10</v>
      </c>
      <c r="D63" s="13">
        <v>10</v>
      </c>
      <c r="E63" s="13">
        <f t="shared" si="22"/>
        <v>1</v>
      </c>
      <c r="F63" s="13">
        <f t="shared" si="23"/>
        <v>0.93604141431165067</v>
      </c>
      <c r="G63" s="42">
        <f t="shared" si="24"/>
        <v>-1.2080483808529943</v>
      </c>
      <c r="H63" s="13">
        <f t="shared" si="25"/>
        <v>-0.66095557423917173</v>
      </c>
      <c r="I63" s="13"/>
      <c r="J63" s="13">
        <f t="shared" si="26"/>
        <v>0.9301147205422674</v>
      </c>
      <c r="K63" s="13">
        <f t="shared" si="27"/>
        <v>-0.7244734502069694</v>
      </c>
      <c r="L63" s="13"/>
      <c r="M63" s="13">
        <f t="shared" si="28"/>
        <v>0.92495788869701412</v>
      </c>
      <c r="N63" s="13">
        <f t="shared" si="29"/>
        <v>-0.7800706823899719</v>
      </c>
      <c r="O63" s="13"/>
      <c r="P63" s="13">
        <f t="shared" si="30"/>
        <v>0.92961072258361377</v>
      </c>
      <c r="Q63" s="13">
        <f t="shared" si="31"/>
        <v>-0.72989358330086462</v>
      </c>
      <c r="R63" s="3"/>
      <c r="AD63">
        <f t="shared" si="34"/>
        <v>0.63746526471693332</v>
      </c>
      <c r="AE63">
        <f t="shared" si="32"/>
        <v>0.9417661339907003</v>
      </c>
      <c r="AF63" s="5"/>
      <c r="AG63" s="3"/>
      <c r="AH63" s="3"/>
      <c r="AI63" s="3"/>
      <c r="AJ63" s="3"/>
      <c r="AK63">
        <f t="shared" si="35"/>
        <v>0.19123957941507999</v>
      </c>
      <c r="AL63">
        <f t="shared" si="33"/>
        <v>0.93375023128570966</v>
      </c>
      <c r="AM63" s="3"/>
      <c r="AN63" s="3"/>
      <c r="AO63" s="3"/>
      <c r="AP63" s="3"/>
      <c r="AQ63" s="3"/>
      <c r="AR63" s="3"/>
    </row>
    <row r="64" spans="1:44" x14ac:dyDescent="0.3">
      <c r="A64" s="82">
        <v>2</v>
      </c>
      <c r="B64" s="12">
        <v>0</v>
      </c>
      <c r="C64" s="13">
        <v>10</v>
      </c>
      <c r="D64" s="13">
        <v>10</v>
      </c>
      <c r="E64" s="13">
        <f t="shared" si="22"/>
        <v>1</v>
      </c>
      <c r="F64" s="13">
        <f t="shared" si="23"/>
        <v>0.93604141431165067</v>
      </c>
      <c r="G64" s="42">
        <f t="shared" si="24"/>
        <v>-1.2080483808529943</v>
      </c>
      <c r="H64" s="13">
        <f t="shared" si="25"/>
        <v>-0.66095557423917173</v>
      </c>
      <c r="I64" s="13"/>
      <c r="J64" s="13">
        <f t="shared" si="26"/>
        <v>0.9301147205422674</v>
      </c>
      <c r="K64" s="13">
        <f t="shared" si="27"/>
        <v>-0.7244734502069694</v>
      </c>
      <c r="L64" s="13"/>
      <c r="M64" s="13">
        <f t="shared" si="28"/>
        <v>0.92495788869701412</v>
      </c>
      <c r="N64" s="13">
        <f t="shared" si="29"/>
        <v>-0.7800706823899719</v>
      </c>
      <c r="O64" s="13"/>
      <c r="P64" s="13">
        <f t="shared" si="30"/>
        <v>0.92961072258361377</v>
      </c>
      <c r="Q64" s="13">
        <f t="shared" si="31"/>
        <v>-0.72989358330086462</v>
      </c>
      <c r="R64" s="3"/>
      <c r="AD64">
        <f t="shared" si="34"/>
        <v>0.82870484413201329</v>
      </c>
      <c r="AE64">
        <f t="shared" si="32"/>
        <v>0.93827729739644117</v>
      </c>
      <c r="AF64" s="5"/>
      <c r="AG64" s="3"/>
      <c r="AH64" s="3"/>
      <c r="AI64" s="3"/>
      <c r="AJ64" s="3"/>
      <c r="AK64">
        <f t="shared" si="35"/>
        <v>0.24861145323960399</v>
      </c>
      <c r="AL64">
        <f t="shared" si="33"/>
        <v>0.91452876141166961</v>
      </c>
      <c r="AM64" s="3"/>
      <c r="AN64" s="3"/>
      <c r="AO64" s="3"/>
      <c r="AP64" s="3"/>
      <c r="AQ64" s="3"/>
      <c r="AR64" s="3"/>
    </row>
    <row r="65" spans="1:44" x14ac:dyDescent="0.3">
      <c r="A65" s="82">
        <v>4</v>
      </c>
      <c r="B65" s="12">
        <v>0</v>
      </c>
      <c r="C65" s="13">
        <v>10</v>
      </c>
      <c r="D65" s="13">
        <v>10</v>
      </c>
      <c r="E65" s="13">
        <f t="shared" si="22"/>
        <v>1</v>
      </c>
      <c r="F65" s="13">
        <f t="shared" si="23"/>
        <v>0.9125623706768492</v>
      </c>
      <c r="G65" s="42">
        <f t="shared" si="24"/>
        <v>-1.2080483808529943</v>
      </c>
      <c r="H65" s="13">
        <f t="shared" si="25"/>
        <v>-0.91498844434658744</v>
      </c>
      <c r="I65" s="13"/>
      <c r="J65" s="13">
        <f t="shared" si="26"/>
        <v>0.90379646620699428</v>
      </c>
      <c r="K65" s="13">
        <f t="shared" si="27"/>
        <v>-1.011510919406893</v>
      </c>
      <c r="L65" s="13"/>
      <c r="M65" s="13">
        <f t="shared" si="28"/>
        <v>0.8969561230051325</v>
      </c>
      <c r="N65" s="13">
        <f t="shared" si="29"/>
        <v>-1.0874833338714245</v>
      </c>
      <c r="O65" s="13"/>
      <c r="P65" s="13">
        <f t="shared" si="30"/>
        <v>0.90313835550960653</v>
      </c>
      <c r="Q65" s="13">
        <f t="shared" si="31"/>
        <v>-1.0187951968316025</v>
      </c>
      <c r="R65" s="3"/>
      <c r="AD65">
        <f t="shared" si="34"/>
        <v>1.0773162973716173</v>
      </c>
      <c r="AE65">
        <f t="shared" si="32"/>
        <v>0.93398479705495852</v>
      </c>
      <c r="AF65" s="5"/>
      <c r="AG65" s="3"/>
      <c r="AH65" s="3"/>
      <c r="AI65" s="3"/>
      <c r="AJ65" s="3"/>
      <c r="AK65">
        <f t="shared" si="35"/>
        <v>0.3231948892114852</v>
      </c>
      <c r="AL65">
        <f t="shared" si="33"/>
        <v>0.88042291556291985</v>
      </c>
      <c r="AM65" s="3"/>
      <c r="AN65" s="3"/>
      <c r="AO65" s="3"/>
      <c r="AP65" s="3"/>
      <c r="AQ65" s="3"/>
      <c r="AR65" s="3"/>
    </row>
    <row r="66" spans="1:44" x14ac:dyDescent="0.3">
      <c r="A66" s="82">
        <v>4</v>
      </c>
      <c r="B66" s="12">
        <v>0</v>
      </c>
      <c r="C66" s="13">
        <v>10</v>
      </c>
      <c r="D66" s="13">
        <v>10</v>
      </c>
      <c r="E66" s="13">
        <f t="shared" si="22"/>
        <v>1</v>
      </c>
      <c r="F66" s="13">
        <f t="shared" si="23"/>
        <v>0.9125623706768492</v>
      </c>
      <c r="G66" s="42">
        <f t="shared" si="24"/>
        <v>-1.2080483808529943</v>
      </c>
      <c r="H66" s="13">
        <f t="shared" si="25"/>
        <v>-0.91498844434658744</v>
      </c>
      <c r="I66" s="13"/>
      <c r="J66" s="13">
        <f t="shared" si="26"/>
        <v>0.90379646620699428</v>
      </c>
      <c r="K66" s="13">
        <f t="shared" si="27"/>
        <v>-1.011510919406893</v>
      </c>
      <c r="L66" s="13"/>
      <c r="M66" s="13">
        <f t="shared" si="28"/>
        <v>0.8969561230051325</v>
      </c>
      <c r="N66" s="13">
        <f t="shared" si="29"/>
        <v>-1.0874833338714245</v>
      </c>
      <c r="O66" s="13"/>
      <c r="P66" s="13">
        <f t="shared" si="30"/>
        <v>0.90313835550960653</v>
      </c>
      <c r="Q66" s="13">
        <f t="shared" si="31"/>
        <v>-1.0187951968316025</v>
      </c>
      <c r="R66" s="3"/>
      <c r="AD66">
        <f t="shared" si="34"/>
        <v>1.4005111865831026</v>
      </c>
      <c r="AE66">
        <f t="shared" si="32"/>
        <v>0.9287137851929802</v>
      </c>
      <c r="AF66" s="5"/>
      <c r="AG66" s="3"/>
      <c r="AH66" s="3"/>
      <c r="AI66" s="3"/>
      <c r="AJ66" s="3"/>
      <c r="AK66">
        <f t="shared" si="35"/>
        <v>0.42015335597493081</v>
      </c>
      <c r="AL66">
        <f t="shared" si="33"/>
        <v>0.82268679526379396</v>
      </c>
      <c r="AM66" s="3"/>
      <c r="AN66" s="3"/>
      <c r="AO66" s="3"/>
      <c r="AP66" s="3"/>
      <c r="AQ66" s="3"/>
      <c r="AR66" s="3"/>
    </row>
    <row r="67" spans="1:44" x14ac:dyDescent="0.3">
      <c r="A67" s="82">
        <v>4</v>
      </c>
      <c r="B67" s="12">
        <v>0</v>
      </c>
      <c r="C67" s="13">
        <v>9</v>
      </c>
      <c r="D67" s="13">
        <v>10</v>
      </c>
      <c r="E67" s="13">
        <f t="shared" si="22"/>
        <v>0.9</v>
      </c>
      <c r="F67" s="13">
        <f t="shared" si="23"/>
        <v>0.9125623706768492</v>
      </c>
      <c r="G67" s="42">
        <f t="shared" si="24"/>
        <v>-9.7871703672560983E-3</v>
      </c>
      <c r="H67" s="13">
        <f t="shared" si="25"/>
        <v>-9.4894135196571666E-3</v>
      </c>
      <c r="I67" s="13"/>
      <c r="J67" s="13">
        <f t="shared" si="26"/>
        <v>0.90379646620699428</v>
      </c>
      <c r="K67" s="13">
        <f t="shared" si="27"/>
        <v>-8.192817218388368E-4</v>
      </c>
      <c r="L67" s="13"/>
      <c r="M67" s="13">
        <f t="shared" si="28"/>
        <v>0.8969561230051325</v>
      </c>
      <c r="N67" s="13">
        <f t="shared" si="29"/>
        <v>-5.0565778895181324E-4</v>
      </c>
      <c r="O67" s="13"/>
      <c r="P67" s="13">
        <f t="shared" si="30"/>
        <v>0.90313835550960653</v>
      </c>
      <c r="Q67" s="13">
        <f t="shared" si="31"/>
        <v>-5.5760737157797141E-4</v>
      </c>
      <c r="R67" s="3"/>
      <c r="AD67">
        <f t="shared" si="34"/>
        <v>1.8206645425580334</v>
      </c>
      <c r="AE67">
        <f t="shared" si="32"/>
        <v>0.92225666367124148</v>
      </c>
      <c r="AF67" s="5"/>
      <c r="AG67" s="3"/>
      <c r="AH67" s="3"/>
      <c r="AI67" s="3"/>
      <c r="AJ67" s="3"/>
      <c r="AK67">
        <f t="shared" si="35"/>
        <v>0.5461993627674101</v>
      </c>
      <c r="AL67">
        <f t="shared" si="33"/>
        <v>0.73231446401402545</v>
      </c>
      <c r="AM67" s="3"/>
      <c r="AN67" s="3"/>
      <c r="AO67" s="3"/>
      <c r="AP67" s="3"/>
      <c r="AQ67" s="3"/>
      <c r="AR67" s="3"/>
    </row>
    <row r="68" spans="1:44" x14ac:dyDescent="0.3">
      <c r="A68" s="82">
        <v>4</v>
      </c>
      <c r="B68" s="12">
        <v>0</v>
      </c>
      <c r="C68" s="13">
        <v>8</v>
      </c>
      <c r="D68" s="13">
        <v>10</v>
      </c>
      <c r="E68" s="13">
        <f t="shared" si="22"/>
        <v>0.8</v>
      </c>
      <c r="F68" s="13">
        <f t="shared" si="23"/>
        <v>0.9125623706768492</v>
      </c>
      <c r="G68" s="42">
        <f t="shared" si="24"/>
        <v>-0.30916119232860295</v>
      </c>
      <c r="H68" s="13">
        <f t="shared" si="25"/>
        <v>-0.6016256151398125</v>
      </c>
      <c r="I68" s="13"/>
      <c r="J68" s="13">
        <f t="shared" si="26"/>
        <v>0.90379646620699428</v>
      </c>
      <c r="K68" s="13">
        <f t="shared" si="27"/>
        <v>-0.48776287648387129</v>
      </c>
      <c r="L68" s="13"/>
      <c r="M68" s="13">
        <f t="shared" si="28"/>
        <v>0.8969561230051325</v>
      </c>
      <c r="N68" s="13">
        <f t="shared" si="29"/>
        <v>-0.41116321415356616</v>
      </c>
      <c r="O68" s="13"/>
      <c r="P68" s="13">
        <f t="shared" si="30"/>
        <v>0.90313835550960653</v>
      </c>
      <c r="Q68" s="13">
        <f t="shared" si="31"/>
        <v>-0.47995525035863962</v>
      </c>
      <c r="R68" s="3"/>
      <c r="AD68">
        <f t="shared" si="34"/>
        <v>2.3668639053254434</v>
      </c>
      <c r="AE68">
        <f t="shared" si="32"/>
        <v>0.9143696635383407</v>
      </c>
      <c r="AF68" s="5"/>
      <c r="AG68" s="3"/>
      <c r="AH68" s="3"/>
      <c r="AI68" s="3"/>
      <c r="AJ68" s="3"/>
      <c r="AK68">
        <f t="shared" si="35"/>
        <v>0.7100591715976331</v>
      </c>
      <c r="AL68">
        <f t="shared" si="33"/>
        <v>0.60686359873027806</v>
      </c>
      <c r="AM68" s="3"/>
      <c r="AN68" s="3"/>
      <c r="AO68" s="3"/>
      <c r="AP68" s="3"/>
      <c r="AQ68" s="3"/>
      <c r="AR68" s="3"/>
    </row>
    <row r="69" spans="1:44" x14ac:dyDescent="0.3">
      <c r="A69" s="82">
        <v>4</v>
      </c>
      <c r="B69" s="12">
        <v>0</v>
      </c>
      <c r="C69" s="13">
        <v>8</v>
      </c>
      <c r="D69" s="13">
        <v>10</v>
      </c>
      <c r="E69" s="13">
        <f t="shared" si="22"/>
        <v>0.8</v>
      </c>
      <c r="F69" s="13">
        <f t="shared" si="23"/>
        <v>0.9125623706768492</v>
      </c>
      <c r="G69" s="42">
        <f t="shared" si="24"/>
        <v>-0.30916119232860295</v>
      </c>
      <c r="H69" s="13">
        <f t="shared" si="25"/>
        <v>-0.6016256151398125</v>
      </c>
      <c r="I69" s="13"/>
      <c r="J69" s="13">
        <f t="shared" si="26"/>
        <v>0.90379646620699428</v>
      </c>
      <c r="K69" s="13">
        <f t="shared" si="27"/>
        <v>-0.48776287648387129</v>
      </c>
      <c r="L69" s="13"/>
      <c r="M69" s="13">
        <f t="shared" si="28"/>
        <v>0.8969561230051325</v>
      </c>
      <c r="N69" s="13">
        <f t="shared" si="29"/>
        <v>-0.41116321415356616</v>
      </c>
      <c r="O69" s="13"/>
      <c r="P69" s="13">
        <f t="shared" si="30"/>
        <v>0.90313835550960653</v>
      </c>
      <c r="Q69" s="13">
        <f t="shared" si="31"/>
        <v>-0.47995525035863962</v>
      </c>
      <c r="R69" s="3"/>
      <c r="AD69">
        <f t="shared" si="34"/>
        <v>3.0769230769230766</v>
      </c>
      <c r="AE69">
        <f t="shared" si="32"/>
        <v>0.90477054245037714</v>
      </c>
      <c r="AF69" s="5"/>
      <c r="AG69" s="3"/>
      <c r="AH69" s="3"/>
      <c r="AI69" s="3"/>
      <c r="AJ69" s="3"/>
      <c r="AK69">
        <f t="shared" si="35"/>
        <v>0.92307692307692302</v>
      </c>
      <c r="AL69">
        <f t="shared" si="33"/>
        <v>0.45892039427847853</v>
      </c>
      <c r="AM69" s="3"/>
      <c r="AN69" s="3"/>
      <c r="AO69" s="3"/>
      <c r="AP69" s="3"/>
      <c r="AQ69" s="3"/>
      <c r="AR69" s="3"/>
    </row>
    <row r="70" spans="1:44" x14ac:dyDescent="0.3">
      <c r="A70" s="12"/>
      <c r="B70" s="12"/>
      <c r="C70" s="13"/>
      <c r="D70" s="13"/>
      <c r="E70" s="13"/>
      <c r="F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3"/>
      <c r="AD70">
        <f>$AD$2</f>
        <v>4</v>
      </c>
      <c r="AE70">
        <f t="shared" si="32"/>
        <v>0.89313835550960652</v>
      </c>
      <c r="AF70" s="5"/>
      <c r="AG70" s="3"/>
      <c r="AH70" s="3"/>
      <c r="AI70" s="3"/>
      <c r="AJ70" s="3"/>
      <c r="AK70">
        <f>$AL$2</f>
        <v>1.2</v>
      </c>
      <c r="AL70">
        <f t="shared" si="33"/>
        <v>0.31459622776831164</v>
      </c>
      <c r="AM70" s="3"/>
      <c r="AN70" s="3"/>
      <c r="AO70" s="3"/>
      <c r="AP70" s="3"/>
      <c r="AQ70" s="3"/>
      <c r="AR70" s="3"/>
    </row>
    <row r="71" spans="1:44" x14ac:dyDescent="0.3">
      <c r="A71" s="12"/>
      <c r="B71" s="12"/>
      <c r="C71" s="13"/>
      <c r="D71" s="13"/>
      <c r="E71" s="13"/>
      <c r="F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3"/>
      <c r="AD71" s="5">
        <f>AD70*$AF$1</f>
        <v>5.2</v>
      </c>
      <c r="AE71" s="5">
        <f t="shared" si="32"/>
        <v>0.87911660055084573</v>
      </c>
      <c r="AF71" s="5"/>
      <c r="AG71" s="3"/>
      <c r="AH71" s="3"/>
      <c r="AI71" s="3"/>
      <c r="AJ71" s="3"/>
      <c r="AK71" s="3">
        <f>AK70*$AO$1</f>
        <v>1.56</v>
      </c>
      <c r="AL71" s="3">
        <f t="shared" si="33"/>
        <v>0.19763411113948381</v>
      </c>
      <c r="AM71" s="3"/>
      <c r="AN71" s="3"/>
      <c r="AO71" s="3"/>
      <c r="AP71" s="3"/>
      <c r="AQ71" s="3"/>
      <c r="AR71" s="3"/>
    </row>
    <row r="72" spans="1:44" x14ac:dyDescent="0.3">
      <c r="A72" s="12"/>
      <c r="B72" s="12"/>
      <c r="C72" s="13"/>
      <c r="D72" s="13"/>
      <c r="E72" s="13"/>
      <c r="F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3"/>
      <c r="AD72" s="5"/>
      <c r="AE72" s="5"/>
      <c r="AF72" s="5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</row>
    <row r="73" spans="1:44" x14ac:dyDescent="0.3">
      <c r="A73" s="12"/>
      <c r="B73" s="12"/>
      <c r="C73" s="13"/>
      <c r="D73" s="13"/>
      <c r="E73" s="13"/>
      <c r="F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3"/>
      <c r="AD73" s="5"/>
      <c r="AE73" s="5"/>
      <c r="AF73" s="5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</row>
    <row r="74" spans="1:44" x14ac:dyDescent="0.3">
      <c r="A74" s="12"/>
      <c r="B74" s="12"/>
      <c r="C74" s="13"/>
      <c r="D74" s="13"/>
      <c r="E74" s="13"/>
      <c r="F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3"/>
      <c r="AD74" s="5"/>
      <c r="AE74" s="5"/>
      <c r="AF74" s="5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</row>
    <row r="75" spans="1:44" x14ac:dyDescent="0.3">
      <c r="A75" s="12"/>
      <c r="B75" s="12"/>
      <c r="C75" s="13"/>
      <c r="D75" s="13"/>
      <c r="E75" s="13"/>
      <c r="F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3"/>
      <c r="AD75" s="5"/>
      <c r="AE75" s="5"/>
      <c r="AF75" s="5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</row>
    <row r="76" spans="1:44" x14ac:dyDescent="0.3">
      <c r="A76" s="12"/>
      <c r="B76" s="12"/>
      <c r="C76" s="13"/>
      <c r="D76" s="13"/>
      <c r="E76" s="13"/>
      <c r="F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AD76" s="5"/>
      <c r="AE76" s="5"/>
      <c r="AF76" s="5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</row>
    <row r="77" spans="1:44" x14ac:dyDescent="0.3">
      <c r="A77" s="12"/>
      <c r="B77" s="12"/>
      <c r="C77" s="13"/>
      <c r="D77" s="13"/>
      <c r="E77" s="13"/>
      <c r="F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3"/>
      <c r="AD77" s="5"/>
      <c r="AE77" s="5"/>
      <c r="AF77" s="5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</row>
    <row r="78" spans="1:44" x14ac:dyDescent="0.3">
      <c r="A78" s="12"/>
      <c r="B78" s="12"/>
      <c r="C78" s="13"/>
      <c r="D78" s="13"/>
      <c r="E78" s="13"/>
      <c r="F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3"/>
      <c r="AD78" s="5"/>
      <c r="AE78" s="5"/>
      <c r="AF78" s="5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</row>
    <row r="79" spans="1:44" x14ac:dyDescent="0.3">
      <c r="A79" s="12"/>
      <c r="B79" s="12"/>
      <c r="C79" s="13"/>
      <c r="D79" s="13"/>
      <c r="E79" s="13"/>
      <c r="F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3"/>
      <c r="AD79" s="5"/>
      <c r="AE79" s="5"/>
      <c r="AF79" s="5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</row>
    <row r="80" spans="1:44" x14ac:dyDescent="0.3">
      <c r="A80" s="12"/>
      <c r="B80" s="12"/>
      <c r="C80" s="13"/>
      <c r="D80" s="13"/>
      <c r="E80" s="13"/>
      <c r="F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3"/>
      <c r="AD80" s="5"/>
      <c r="AE80" s="5"/>
      <c r="AF80" s="5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</row>
    <row r="81" spans="1:44" x14ac:dyDescent="0.3">
      <c r="A81" s="12"/>
      <c r="B81" s="12"/>
      <c r="C81" s="13"/>
      <c r="D81" s="13"/>
      <c r="E81" s="13"/>
      <c r="F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3"/>
      <c r="AD81" s="5"/>
      <c r="AE81" s="5"/>
      <c r="AF81" s="5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</row>
    <row r="82" spans="1:44" x14ac:dyDescent="0.3">
      <c r="A82" s="12"/>
      <c r="B82" s="12"/>
      <c r="C82" s="13"/>
      <c r="D82" s="13"/>
      <c r="E82" s="13"/>
      <c r="F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3"/>
      <c r="AD82" s="5"/>
      <c r="AE82" s="5"/>
      <c r="AF82" s="5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</row>
    <row r="83" spans="1:44" x14ac:dyDescent="0.3">
      <c r="A83" s="12"/>
      <c r="B83" s="12"/>
      <c r="C83" s="13"/>
      <c r="D83" s="13"/>
      <c r="E83" s="13"/>
      <c r="F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3"/>
      <c r="AD83" s="5"/>
      <c r="AE83" s="5"/>
      <c r="AF83" s="5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</row>
    <row r="84" spans="1:44" x14ac:dyDescent="0.3">
      <c r="A84" s="12"/>
      <c r="B84" s="12"/>
      <c r="C84" s="13"/>
      <c r="D84" s="13"/>
      <c r="E84" s="13"/>
      <c r="F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3"/>
      <c r="AD84" s="5"/>
      <c r="AE84" s="5"/>
      <c r="AF84" s="5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</row>
    <row r="85" spans="1:44" x14ac:dyDescent="0.3">
      <c r="A85" s="12"/>
      <c r="B85" s="12"/>
      <c r="C85" s="13"/>
      <c r="D85" s="13"/>
      <c r="E85" s="13"/>
      <c r="F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3"/>
      <c r="AD85" s="5"/>
      <c r="AE85" s="5"/>
      <c r="AF85" s="5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</row>
    <row r="86" spans="1:44" x14ac:dyDescent="0.3">
      <c r="A86" s="12"/>
      <c r="B86" s="12"/>
      <c r="C86" s="13"/>
      <c r="D86" s="13"/>
      <c r="E86" s="13"/>
      <c r="F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3"/>
      <c r="AD86" s="5"/>
      <c r="AE86" s="5"/>
      <c r="AF86" s="5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</row>
    <row r="87" spans="1:44" x14ac:dyDescent="0.3">
      <c r="A87" s="12"/>
      <c r="B87" s="12"/>
      <c r="C87" s="13"/>
      <c r="D87" s="13"/>
      <c r="E87" s="13"/>
      <c r="F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3"/>
      <c r="AD87" s="5"/>
      <c r="AE87" s="5"/>
      <c r="AF87" s="5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</row>
    <row r="88" spans="1:44" x14ac:dyDescent="0.3">
      <c r="A88" s="12"/>
      <c r="B88" s="12"/>
      <c r="C88" s="13"/>
      <c r="D88" s="13"/>
      <c r="E88" s="13"/>
      <c r="F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3"/>
      <c r="AD88" s="5"/>
      <c r="AE88" s="5"/>
      <c r="AF88" s="5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</row>
    <row r="89" spans="1:44" x14ac:dyDescent="0.3">
      <c r="A89" s="12"/>
      <c r="B89" s="12"/>
      <c r="C89" s="13"/>
      <c r="D89" s="13"/>
      <c r="E89" s="13"/>
      <c r="F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3"/>
      <c r="AD89" s="5"/>
      <c r="AE89" s="5"/>
      <c r="AF89" s="5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</row>
    <row r="90" spans="1:44" x14ac:dyDescent="0.3">
      <c r="A90" s="8">
        <v>0</v>
      </c>
      <c r="B90" s="84">
        <v>7.4999999999999997E-2</v>
      </c>
      <c r="C90" s="9">
        <v>10</v>
      </c>
      <c r="D90" s="9">
        <v>10</v>
      </c>
      <c r="E90" s="9">
        <f>C90/D90</f>
        <v>1</v>
      </c>
      <c r="F90" s="9">
        <f>CA(A90,B90,$F$2,$F$3,$F$4,$F$5,$F$6)+0.01</f>
        <v>0.9637630560692092</v>
      </c>
      <c r="G90" s="42">
        <f>totalbinLik($G$23,D90,C90)</f>
        <v>-1.2080483808529943</v>
      </c>
      <c r="H90" s="9">
        <f>BinLik(D90,C90,F90)</f>
        <v>-0.36909807042835197</v>
      </c>
      <c r="I90" s="9"/>
      <c r="J90" s="9">
        <f>CA_SA(A90,B90,$J$2,$J$3,$J$4,$J$5,$J$6,$J$7)+0.01</f>
        <v>0.96418659828636732</v>
      </c>
      <c r="K90" s="9">
        <f>BinLik(D90,C90,J90)</f>
        <v>-0.36470436416102414</v>
      </c>
      <c r="L90" s="9"/>
      <c r="M90" s="9">
        <f>CA_DR(A90,B90,$M$2,$M$3,$M$4,$M$5,$M$6,$M$7,$M$8)+0.01</f>
        <v>0.96445907909300166</v>
      </c>
      <c r="N90" s="9">
        <f>BinLik(D90,C90,M90)</f>
        <v>-0.36187874604315895</v>
      </c>
      <c r="O90" s="9"/>
      <c r="P90" s="9">
        <f>CA_DL(A90,B90,$P$2,$P$3,$P$4,$P$5,$P$6,$P$7,$P$8)+0.01</f>
        <v>0.96410741468632732</v>
      </c>
      <c r="Q90" s="9">
        <f>BinLik(D90,C90,P90)</f>
        <v>-0.36552564555848521</v>
      </c>
      <c r="R90" s="3" t="s">
        <v>32</v>
      </c>
      <c r="AD90" s="5"/>
      <c r="AE90" s="5"/>
      <c r="AF90" s="5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</row>
    <row r="91" spans="1:44" x14ac:dyDescent="0.3">
      <c r="A91" s="8">
        <v>0</v>
      </c>
      <c r="B91" s="84">
        <v>7.4999999999999997E-2</v>
      </c>
      <c r="C91" s="9">
        <v>10</v>
      </c>
      <c r="D91" s="9">
        <v>10</v>
      </c>
      <c r="E91" s="9">
        <f t="shared" ref="E91:E114" si="36">C91/D91</f>
        <v>1</v>
      </c>
      <c r="F91" s="9">
        <f t="shared" ref="F91:F114" si="37">CA(A91,B91,$F$2,$F$3,$F$4,$F$5,$F$6)+0.01</f>
        <v>0.9637630560692092</v>
      </c>
      <c r="G91" s="42">
        <f t="shared" ref="G91:G114" si="38">totalbinLik($G$23,D91,C91)</f>
        <v>-1.2080483808529943</v>
      </c>
      <c r="H91" s="9">
        <f t="shared" ref="H91:H114" si="39">BinLik(D91,C91,F91)</f>
        <v>-0.36909807042835197</v>
      </c>
      <c r="I91" s="9"/>
      <c r="J91" s="9">
        <f t="shared" ref="J91:J114" si="40">CA_SA(A91,B91,$J$2,$J$3,$J$4,$J$5,$J$6,$J$7)+0.01</f>
        <v>0.96418659828636732</v>
      </c>
      <c r="K91" s="9">
        <f t="shared" ref="K91:K114" si="41">BinLik(D91,C91,J91)</f>
        <v>-0.36470436416102414</v>
      </c>
      <c r="L91" s="9"/>
      <c r="M91" s="9">
        <f t="shared" ref="M91:M114" si="42">CA_DR(A91,B91,$M$2,$M$3,$M$4,$M$5,$M$6,$M$7,$M$8)+0.01</f>
        <v>0.96445907909300166</v>
      </c>
      <c r="N91" s="9">
        <f t="shared" ref="N91:N114" si="43">BinLik(D91,C91,M91)</f>
        <v>-0.36187874604315895</v>
      </c>
      <c r="O91" s="9"/>
      <c r="P91" s="9">
        <f t="shared" ref="P91:P114" si="44">CA_DL(A91,B91,$P$2,$P$3,$P$4,$P$5,$P$6,$P$7,$P$8)+0.01</f>
        <v>0.96410741468632732</v>
      </c>
      <c r="Q91" s="9">
        <f t="shared" ref="Q91:Q114" si="45">BinLik(D91,C91,P91)</f>
        <v>-0.36552564555848521</v>
      </c>
      <c r="R91" s="3"/>
      <c r="AD91" s="5"/>
      <c r="AE91" s="5"/>
      <c r="AF91" s="5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</row>
    <row r="92" spans="1:44" x14ac:dyDescent="0.3">
      <c r="A92" s="8">
        <v>0</v>
      </c>
      <c r="B92" s="84">
        <v>7.4999999999999997E-2</v>
      </c>
      <c r="C92" s="9">
        <v>10</v>
      </c>
      <c r="D92" s="9">
        <v>10</v>
      </c>
      <c r="E92" s="9">
        <f t="shared" si="36"/>
        <v>1</v>
      </c>
      <c r="F92" s="9">
        <f t="shared" si="37"/>
        <v>0.9637630560692092</v>
      </c>
      <c r="G92" s="42">
        <f t="shared" si="38"/>
        <v>-1.2080483808529943</v>
      </c>
      <c r="H92" s="9">
        <f t="shared" si="39"/>
        <v>-0.36909807042835197</v>
      </c>
      <c r="I92" s="9"/>
      <c r="J92" s="9">
        <f t="shared" si="40"/>
        <v>0.96418659828636732</v>
      </c>
      <c r="K92" s="9">
        <f t="shared" si="41"/>
        <v>-0.36470436416102414</v>
      </c>
      <c r="L92" s="9"/>
      <c r="M92" s="9">
        <f t="shared" si="42"/>
        <v>0.96445907909300166</v>
      </c>
      <c r="N92" s="9">
        <f t="shared" si="43"/>
        <v>-0.36187874604315895</v>
      </c>
      <c r="O92" s="9"/>
      <c r="P92" s="9">
        <f t="shared" si="44"/>
        <v>0.96410741468632732</v>
      </c>
      <c r="Q92" s="9">
        <f t="shared" si="45"/>
        <v>-0.36552564555848521</v>
      </c>
      <c r="R92" s="3"/>
      <c r="AD92" s="5"/>
      <c r="AE92" s="5"/>
      <c r="AF92" s="5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</row>
    <row r="93" spans="1:44" x14ac:dyDescent="0.3">
      <c r="A93" s="8">
        <v>0</v>
      </c>
      <c r="B93" s="84">
        <v>7.4999999999999997E-2</v>
      </c>
      <c r="C93" s="9">
        <v>10</v>
      </c>
      <c r="D93" s="9">
        <v>10</v>
      </c>
      <c r="E93" s="9">
        <f t="shared" si="36"/>
        <v>1</v>
      </c>
      <c r="F93" s="9">
        <f t="shared" si="37"/>
        <v>0.9637630560692092</v>
      </c>
      <c r="G93" s="42">
        <f t="shared" si="38"/>
        <v>-1.2080483808529943</v>
      </c>
      <c r="H93" s="9">
        <f t="shared" si="39"/>
        <v>-0.36909807042835197</v>
      </c>
      <c r="I93" s="9"/>
      <c r="J93" s="9">
        <f t="shared" si="40"/>
        <v>0.96418659828636732</v>
      </c>
      <c r="K93" s="9">
        <f t="shared" si="41"/>
        <v>-0.36470436416102414</v>
      </c>
      <c r="L93" s="9"/>
      <c r="M93" s="9">
        <f t="shared" si="42"/>
        <v>0.96445907909300166</v>
      </c>
      <c r="N93" s="9">
        <f t="shared" si="43"/>
        <v>-0.36187874604315895</v>
      </c>
      <c r="O93" s="9"/>
      <c r="P93" s="9">
        <f t="shared" si="44"/>
        <v>0.96410741468632732</v>
      </c>
      <c r="Q93" s="9">
        <f t="shared" si="45"/>
        <v>-0.36552564555848521</v>
      </c>
      <c r="R93" s="3"/>
      <c r="AD93" s="5"/>
      <c r="AE93" s="5"/>
      <c r="AF93" s="5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</row>
    <row r="94" spans="1:44" x14ac:dyDescent="0.3">
      <c r="A94" s="8">
        <v>0</v>
      </c>
      <c r="B94" s="84">
        <v>7.4999999999999997E-2</v>
      </c>
      <c r="C94" s="9">
        <v>10</v>
      </c>
      <c r="D94" s="9">
        <v>10</v>
      </c>
      <c r="E94" s="9">
        <f t="shared" si="36"/>
        <v>1</v>
      </c>
      <c r="F94" s="9">
        <f t="shared" si="37"/>
        <v>0.9637630560692092</v>
      </c>
      <c r="G94" s="42">
        <f t="shared" si="38"/>
        <v>-1.2080483808529943</v>
      </c>
      <c r="H94" s="9">
        <f t="shared" si="39"/>
        <v>-0.36909807042835197</v>
      </c>
      <c r="I94" s="9"/>
      <c r="J94" s="9">
        <f t="shared" si="40"/>
        <v>0.96418659828636732</v>
      </c>
      <c r="K94" s="9">
        <f t="shared" si="41"/>
        <v>-0.36470436416102414</v>
      </c>
      <c r="L94" s="9"/>
      <c r="M94" s="9">
        <f t="shared" si="42"/>
        <v>0.96445907909300166</v>
      </c>
      <c r="N94" s="9">
        <f t="shared" si="43"/>
        <v>-0.36187874604315895</v>
      </c>
      <c r="O94" s="9"/>
      <c r="P94" s="9">
        <f t="shared" si="44"/>
        <v>0.96410741468632732</v>
      </c>
      <c r="Q94" s="9">
        <f t="shared" si="45"/>
        <v>-0.36552564555848521</v>
      </c>
      <c r="R94" s="3"/>
      <c r="AD94" s="5"/>
      <c r="AE94" s="5"/>
      <c r="AF94" s="5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</row>
    <row r="95" spans="1:44" x14ac:dyDescent="0.3">
      <c r="A95" s="8">
        <v>0</v>
      </c>
      <c r="B95" s="84">
        <v>0.15</v>
      </c>
      <c r="C95" s="9">
        <v>10</v>
      </c>
      <c r="D95" s="9">
        <v>10</v>
      </c>
      <c r="E95" s="9">
        <f t="shared" si="36"/>
        <v>1</v>
      </c>
      <c r="F95" s="9">
        <f t="shared" si="37"/>
        <v>0.95532154407337844</v>
      </c>
      <c r="G95" s="42">
        <f t="shared" si="38"/>
        <v>-1.2080483808529943</v>
      </c>
      <c r="H95" s="9">
        <f t="shared" si="39"/>
        <v>-0.45707299805777157</v>
      </c>
      <c r="I95" s="9"/>
      <c r="J95" s="9">
        <f t="shared" si="40"/>
        <v>0.95374727436310747</v>
      </c>
      <c r="K95" s="9">
        <f t="shared" si="41"/>
        <v>-0.47356554198188211</v>
      </c>
      <c r="L95" s="9"/>
      <c r="M95" s="9">
        <f t="shared" si="42"/>
        <v>0.95631886691927992</v>
      </c>
      <c r="N95" s="9">
        <f t="shared" si="43"/>
        <v>-0.44663878741176416</v>
      </c>
      <c r="O95" s="9"/>
      <c r="P95" s="9">
        <f t="shared" si="44"/>
        <v>0.95371619080535763</v>
      </c>
      <c r="Q95" s="9">
        <f t="shared" si="45"/>
        <v>-0.47389145708662928</v>
      </c>
      <c r="R95" s="3"/>
      <c r="AD95" s="5"/>
      <c r="AE95" s="5"/>
      <c r="AF95" s="5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</row>
    <row r="96" spans="1:44" x14ac:dyDescent="0.3">
      <c r="A96" s="8">
        <v>0</v>
      </c>
      <c r="B96" s="84">
        <v>0.15</v>
      </c>
      <c r="C96" s="9">
        <v>10</v>
      </c>
      <c r="D96" s="9">
        <v>10</v>
      </c>
      <c r="E96" s="9">
        <f t="shared" si="36"/>
        <v>1</v>
      </c>
      <c r="F96" s="9">
        <f t="shared" si="37"/>
        <v>0.95532154407337844</v>
      </c>
      <c r="G96" s="42">
        <f t="shared" si="38"/>
        <v>-1.2080483808529943</v>
      </c>
      <c r="H96" s="9">
        <f t="shared" si="39"/>
        <v>-0.45707299805777157</v>
      </c>
      <c r="I96" s="9"/>
      <c r="J96" s="9">
        <f t="shared" si="40"/>
        <v>0.95374727436310747</v>
      </c>
      <c r="K96" s="9">
        <f t="shared" si="41"/>
        <v>-0.47356554198188211</v>
      </c>
      <c r="L96" s="9"/>
      <c r="M96" s="9">
        <f t="shared" si="42"/>
        <v>0.95631886691927992</v>
      </c>
      <c r="N96" s="9">
        <f t="shared" si="43"/>
        <v>-0.44663878741176416</v>
      </c>
      <c r="O96" s="9"/>
      <c r="P96" s="9">
        <f t="shared" si="44"/>
        <v>0.95371619080535763</v>
      </c>
      <c r="Q96" s="9">
        <f t="shared" si="45"/>
        <v>-0.47389145708662928</v>
      </c>
      <c r="R96" s="3"/>
      <c r="AD96" s="5"/>
      <c r="AE96" s="5"/>
      <c r="AF96" s="5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</row>
    <row r="97" spans="1:44" x14ac:dyDescent="0.3">
      <c r="A97" s="8">
        <v>0</v>
      </c>
      <c r="B97" s="84">
        <v>0.15</v>
      </c>
      <c r="C97" s="9">
        <v>8</v>
      </c>
      <c r="D97" s="9">
        <v>10</v>
      </c>
      <c r="E97" s="9">
        <f t="shared" si="36"/>
        <v>0.8</v>
      </c>
      <c r="F97" s="9">
        <f t="shared" si="37"/>
        <v>0.95532154407337844</v>
      </c>
      <c r="G97" s="42">
        <f t="shared" si="38"/>
        <v>-0.30916119232860295</v>
      </c>
      <c r="H97" s="9">
        <f t="shared" si="39"/>
        <v>-1.5781618908029547</v>
      </c>
      <c r="I97" s="9"/>
      <c r="J97" s="9">
        <f t="shared" si="40"/>
        <v>0.95374727436310747</v>
      </c>
      <c r="K97" s="9">
        <f t="shared" si="41"/>
        <v>-1.5220979663448213</v>
      </c>
      <c r="L97" s="9"/>
      <c r="M97" s="9">
        <f t="shared" si="42"/>
        <v>0.95631886691927992</v>
      </c>
      <c r="N97" s="9">
        <f t="shared" si="43"/>
        <v>-1.6149648093260527</v>
      </c>
      <c r="O97" s="9"/>
      <c r="P97" s="9">
        <f t="shared" si="44"/>
        <v>0.95371619080535763</v>
      </c>
      <c r="Q97" s="9">
        <f t="shared" si="45"/>
        <v>-1.5210150752218274</v>
      </c>
      <c r="R97" s="3"/>
      <c r="AD97" s="5"/>
      <c r="AE97" s="5"/>
      <c r="AF97" s="5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</row>
    <row r="98" spans="1:44" x14ac:dyDescent="0.3">
      <c r="A98" s="8">
        <v>0</v>
      </c>
      <c r="B98" s="84">
        <v>0.15</v>
      </c>
      <c r="C98" s="9">
        <v>10</v>
      </c>
      <c r="D98" s="9">
        <v>10</v>
      </c>
      <c r="E98" s="9">
        <f t="shared" si="36"/>
        <v>1</v>
      </c>
      <c r="F98" s="9">
        <f t="shared" si="37"/>
        <v>0.95532154407337844</v>
      </c>
      <c r="G98" s="42">
        <f t="shared" si="38"/>
        <v>-1.2080483808529943</v>
      </c>
      <c r="H98" s="9">
        <f t="shared" si="39"/>
        <v>-0.45707299805777157</v>
      </c>
      <c r="I98" s="9"/>
      <c r="J98" s="9">
        <f t="shared" si="40"/>
        <v>0.95374727436310747</v>
      </c>
      <c r="K98" s="9">
        <f t="shared" si="41"/>
        <v>-0.47356554198188211</v>
      </c>
      <c r="L98" s="9"/>
      <c r="M98" s="9">
        <f t="shared" si="42"/>
        <v>0.95631886691927992</v>
      </c>
      <c r="N98" s="9">
        <f t="shared" si="43"/>
        <v>-0.44663878741176416</v>
      </c>
      <c r="O98" s="9"/>
      <c r="P98" s="9">
        <f t="shared" si="44"/>
        <v>0.95371619080535763</v>
      </c>
      <c r="Q98" s="9">
        <f t="shared" si="45"/>
        <v>-0.47389145708662928</v>
      </c>
      <c r="R98" s="3"/>
      <c r="AD98" s="5"/>
      <c r="AE98" s="5"/>
      <c r="AF98" s="5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</row>
    <row r="99" spans="1:44" x14ac:dyDescent="0.3">
      <c r="A99" s="8">
        <v>0</v>
      </c>
      <c r="B99" s="84">
        <v>0.15</v>
      </c>
      <c r="C99" s="9">
        <v>10</v>
      </c>
      <c r="D99" s="9">
        <v>10</v>
      </c>
      <c r="E99" s="9">
        <f t="shared" si="36"/>
        <v>1</v>
      </c>
      <c r="F99" s="9">
        <f t="shared" si="37"/>
        <v>0.95532154407337844</v>
      </c>
      <c r="G99" s="42">
        <f t="shared" si="38"/>
        <v>-1.2080483808529943</v>
      </c>
      <c r="H99" s="9">
        <f t="shared" si="39"/>
        <v>-0.45707299805777157</v>
      </c>
      <c r="I99" s="9"/>
      <c r="J99" s="9">
        <f t="shared" si="40"/>
        <v>0.95374727436310747</v>
      </c>
      <c r="K99" s="9">
        <f t="shared" si="41"/>
        <v>-0.47356554198188211</v>
      </c>
      <c r="L99" s="9"/>
      <c r="M99" s="9">
        <f t="shared" si="42"/>
        <v>0.95631886691927992</v>
      </c>
      <c r="N99" s="9">
        <f t="shared" si="43"/>
        <v>-0.44663878741176416</v>
      </c>
      <c r="O99" s="9"/>
      <c r="P99" s="9">
        <f t="shared" si="44"/>
        <v>0.95371619080535763</v>
      </c>
      <c r="Q99" s="9">
        <f t="shared" si="45"/>
        <v>-0.47389145708662928</v>
      </c>
      <c r="R99" s="3"/>
      <c r="AD99" s="5"/>
      <c r="AE99" s="5"/>
      <c r="AF99" s="5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</row>
    <row r="100" spans="1:44" x14ac:dyDescent="0.3">
      <c r="A100" s="8">
        <v>0</v>
      </c>
      <c r="B100" s="84">
        <v>0.3</v>
      </c>
      <c r="C100" s="9">
        <v>8</v>
      </c>
      <c r="D100" s="9">
        <v>10</v>
      </c>
      <c r="E100" s="9">
        <f t="shared" si="36"/>
        <v>0.8</v>
      </c>
      <c r="F100" s="9">
        <f t="shared" si="37"/>
        <v>0.91031630917417805</v>
      </c>
      <c r="G100" s="42">
        <f t="shared" si="38"/>
        <v>-0.30916119232860295</v>
      </c>
      <c r="H100" s="9">
        <f t="shared" si="39"/>
        <v>-0.57061363468271398</v>
      </c>
      <c r="I100" s="9"/>
      <c r="J100" s="9">
        <f t="shared" si="40"/>
        <v>0.90185597633759951</v>
      </c>
      <c r="K100" s="9">
        <f t="shared" si="41"/>
        <v>-0.46501780959665351</v>
      </c>
      <c r="L100" s="9"/>
      <c r="M100" s="9">
        <f t="shared" si="42"/>
        <v>0.91259150675835354</v>
      </c>
      <c r="N100" s="9">
        <f t="shared" si="43"/>
        <v>-0.60203675074087126</v>
      </c>
      <c r="O100" s="9"/>
      <c r="P100" s="9">
        <f t="shared" si="44"/>
        <v>0.90208634290102196</v>
      </c>
      <c r="Q100" s="9">
        <f t="shared" si="45"/>
        <v>-0.46767455927702761</v>
      </c>
      <c r="R100" s="3"/>
      <c r="AD100" s="5"/>
      <c r="AE100" s="5"/>
      <c r="AF100" s="5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</row>
    <row r="101" spans="1:44" x14ac:dyDescent="0.3">
      <c r="A101" s="8">
        <v>0</v>
      </c>
      <c r="B101" s="84">
        <v>0.3</v>
      </c>
      <c r="C101" s="9">
        <v>10</v>
      </c>
      <c r="D101" s="9">
        <v>10</v>
      </c>
      <c r="E101" s="9">
        <f t="shared" si="36"/>
        <v>1</v>
      </c>
      <c r="F101" s="9">
        <f t="shared" si="37"/>
        <v>0.91031630917417805</v>
      </c>
      <c r="G101" s="42">
        <f t="shared" si="38"/>
        <v>-1.2080483808529943</v>
      </c>
      <c r="H101" s="9">
        <f t="shared" si="39"/>
        <v>-0.93963147368422162</v>
      </c>
      <c r="I101" s="9"/>
      <c r="J101" s="9">
        <f t="shared" si="40"/>
        <v>0.90185597633759951</v>
      </c>
      <c r="K101" s="9">
        <f t="shared" si="41"/>
        <v>-1.0330044313443496</v>
      </c>
      <c r="L101" s="9"/>
      <c r="M101" s="9">
        <f t="shared" si="42"/>
        <v>0.91259150675835354</v>
      </c>
      <c r="N101" s="9">
        <f t="shared" si="43"/>
        <v>-0.91466917174314266</v>
      </c>
      <c r="O101" s="9"/>
      <c r="P101" s="9">
        <f t="shared" si="44"/>
        <v>0.90208634290102196</v>
      </c>
      <c r="Q101" s="9">
        <f t="shared" si="45"/>
        <v>-1.0304503966369436</v>
      </c>
      <c r="R101" s="3"/>
      <c r="AD101" s="5"/>
      <c r="AE101" s="5"/>
      <c r="AF101" s="5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</row>
    <row r="102" spans="1:44" x14ac:dyDescent="0.3">
      <c r="A102" s="8">
        <v>0</v>
      </c>
      <c r="B102" s="84">
        <v>0.3</v>
      </c>
      <c r="C102" s="9">
        <v>10</v>
      </c>
      <c r="D102" s="9">
        <v>10</v>
      </c>
      <c r="E102" s="9">
        <f t="shared" si="36"/>
        <v>1</v>
      </c>
      <c r="F102" s="9">
        <f t="shared" si="37"/>
        <v>0.91031630917417805</v>
      </c>
      <c r="G102" s="42">
        <f t="shared" si="38"/>
        <v>-1.2080483808529943</v>
      </c>
      <c r="H102" s="9">
        <f t="shared" si="39"/>
        <v>-0.93963147368422162</v>
      </c>
      <c r="I102" s="9"/>
      <c r="J102" s="9">
        <f t="shared" si="40"/>
        <v>0.90185597633759951</v>
      </c>
      <c r="K102" s="9">
        <f t="shared" si="41"/>
        <v>-1.0330044313443496</v>
      </c>
      <c r="L102" s="9"/>
      <c r="M102" s="9">
        <f t="shared" si="42"/>
        <v>0.91259150675835354</v>
      </c>
      <c r="N102" s="9">
        <f t="shared" si="43"/>
        <v>-0.91466917174314266</v>
      </c>
      <c r="O102" s="9"/>
      <c r="P102" s="9">
        <f t="shared" si="44"/>
        <v>0.90208634290102196</v>
      </c>
      <c r="Q102" s="9">
        <f t="shared" si="45"/>
        <v>-1.0304503966369436</v>
      </c>
      <c r="R102" s="3"/>
      <c r="AD102" s="5"/>
      <c r="AE102" s="5"/>
      <c r="AF102" s="5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</row>
    <row r="103" spans="1:44" x14ac:dyDescent="0.3">
      <c r="A103" s="8">
        <v>0</v>
      </c>
      <c r="B103" s="84">
        <v>0.3</v>
      </c>
      <c r="C103" s="9">
        <v>9</v>
      </c>
      <c r="D103" s="9">
        <v>10</v>
      </c>
      <c r="E103" s="9">
        <f t="shared" si="36"/>
        <v>0.9</v>
      </c>
      <c r="F103" s="9">
        <f t="shared" si="37"/>
        <v>0.91031630917417805</v>
      </c>
      <c r="G103" s="42">
        <f t="shared" si="38"/>
        <v>-9.7871703672560983E-3</v>
      </c>
      <c r="H103" s="9">
        <f t="shared" si="39"/>
        <v>-6.3049379599243865E-3</v>
      </c>
      <c r="I103" s="9"/>
      <c r="J103" s="9">
        <f t="shared" si="40"/>
        <v>0.90185597633759951</v>
      </c>
      <c r="K103" s="9">
        <f t="shared" si="41"/>
        <v>-1.9350424695835367E-4</v>
      </c>
      <c r="L103" s="9"/>
      <c r="M103" s="9">
        <f t="shared" si="42"/>
        <v>0.91259150675835354</v>
      </c>
      <c r="N103" s="9">
        <f t="shared" si="43"/>
        <v>-9.5353450184644806E-3</v>
      </c>
      <c r="O103" s="9"/>
      <c r="P103" s="9">
        <f t="shared" si="44"/>
        <v>0.90208634290102196</v>
      </c>
      <c r="Q103" s="9">
        <f t="shared" si="45"/>
        <v>-2.4486173344364856E-4</v>
      </c>
      <c r="R103" s="3"/>
      <c r="AD103" s="5"/>
      <c r="AE103" s="5"/>
      <c r="AF103" s="5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</row>
    <row r="104" spans="1:44" x14ac:dyDescent="0.3">
      <c r="A104" s="8">
        <v>0</v>
      </c>
      <c r="B104" s="84">
        <v>0.3</v>
      </c>
      <c r="C104" s="9">
        <v>9</v>
      </c>
      <c r="D104" s="9">
        <v>10</v>
      </c>
      <c r="E104" s="9">
        <f t="shared" si="36"/>
        <v>0.9</v>
      </c>
      <c r="F104" s="9">
        <f t="shared" si="37"/>
        <v>0.91031630917417805</v>
      </c>
      <c r="G104" s="42">
        <f t="shared" si="38"/>
        <v>-9.7871703672560983E-3</v>
      </c>
      <c r="H104" s="9">
        <f t="shared" si="39"/>
        <v>-6.3049379599243865E-3</v>
      </c>
      <c r="I104" s="9"/>
      <c r="J104" s="9">
        <f t="shared" si="40"/>
        <v>0.90185597633759951</v>
      </c>
      <c r="K104" s="9">
        <f t="shared" si="41"/>
        <v>-1.9350424695835367E-4</v>
      </c>
      <c r="L104" s="9"/>
      <c r="M104" s="9">
        <f t="shared" si="42"/>
        <v>0.91259150675835354</v>
      </c>
      <c r="N104" s="9">
        <f t="shared" si="43"/>
        <v>-9.5353450184644806E-3</v>
      </c>
      <c r="O104" s="9"/>
      <c r="P104" s="9">
        <f t="shared" si="44"/>
        <v>0.90208634290102196</v>
      </c>
      <c r="Q104" s="9">
        <f t="shared" si="45"/>
        <v>-2.4486173344364856E-4</v>
      </c>
      <c r="R104" s="3"/>
      <c r="AD104" s="5"/>
      <c r="AE104" s="5"/>
      <c r="AF104" s="5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</row>
    <row r="105" spans="1:44" x14ac:dyDescent="0.3">
      <c r="A105" s="8">
        <v>0</v>
      </c>
      <c r="B105" s="84">
        <v>0.6</v>
      </c>
      <c r="C105" s="9">
        <v>8</v>
      </c>
      <c r="D105" s="9">
        <v>10</v>
      </c>
      <c r="E105" s="9">
        <f t="shared" si="36"/>
        <v>0.8</v>
      </c>
      <c r="F105" s="9">
        <f t="shared" si="37"/>
        <v>0.71953166080365349</v>
      </c>
      <c r="G105" s="42">
        <f t="shared" si="38"/>
        <v>-0.30916119232860295</v>
      </c>
      <c r="H105" s="9">
        <f t="shared" si="39"/>
        <v>-0.17180262868820984</v>
      </c>
      <c r="I105" s="9"/>
      <c r="J105" s="9">
        <f t="shared" si="40"/>
        <v>0.70006937538571801</v>
      </c>
      <c r="K105" s="9">
        <f t="shared" si="41"/>
        <v>-0.25699065857239034</v>
      </c>
      <c r="L105" s="9"/>
      <c r="M105" s="9">
        <f t="shared" si="42"/>
        <v>0.72493421366699573</v>
      </c>
      <c r="N105" s="9">
        <f t="shared" si="43"/>
        <v>-0.15086068252337503</v>
      </c>
      <c r="O105" s="9"/>
      <c r="P105" s="9">
        <f t="shared" si="44"/>
        <v>0.70115079498463029</v>
      </c>
      <c r="Q105" s="9">
        <f t="shared" si="45"/>
        <v>-0.25186650018502199</v>
      </c>
      <c r="R105" s="3"/>
      <c r="AD105" s="5"/>
      <c r="AE105" s="5"/>
      <c r="AF105" s="5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</row>
    <row r="106" spans="1:44" x14ac:dyDescent="0.3">
      <c r="A106" s="8">
        <v>0</v>
      </c>
      <c r="B106" s="84">
        <v>0.6</v>
      </c>
      <c r="C106" s="9">
        <v>7</v>
      </c>
      <c r="D106" s="9">
        <v>10</v>
      </c>
      <c r="E106" s="9">
        <f t="shared" si="36"/>
        <v>0.7</v>
      </c>
      <c r="F106" s="9">
        <f t="shared" si="37"/>
        <v>0.71953166080365349</v>
      </c>
      <c r="G106" s="42">
        <f t="shared" si="38"/>
        <v>-1.2571109305902908</v>
      </c>
      <c r="H106" s="9">
        <f t="shared" si="39"/>
        <v>-9.3235269252572861E-3</v>
      </c>
      <c r="I106" s="9"/>
      <c r="J106" s="9">
        <f t="shared" si="40"/>
        <v>0.70006937538571801</v>
      </c>
      <c r="K106" s="9">
        <f t="shared" si="41"/>
        <v>-1.1460400539404624E-7</v>
      </c>
      <c r="L106" s="9"/>
      <c r="M106" s="9">
        <f t="shared" si="42"/>
        <v>0.72493421366699573</v>
      </c>
      <c r="N106" s="9">
        <f t="shared" si="43"/>
        <v>-1.5312516237819873E-2</v>
      </c>
      <c r="O106" s="9"/>
      <c r="P106" s="9">
        <f t="shared" si="44"/>
        <v>0.70115079498463029</v>
      </c>
      <c r="Q106" s="9">
        <f t="shared" si="45"/>
        <v>-3.1577898861689588E-5</v>
      </c>
      <c r="R106" s="3"/>
      <c r="AD106" s="5"/>
      <c r="AE106" s="5"/>
      <c r="AF106" s="5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</row>
    <row r="107" spans="1:44" x14ac:dyDescent="0.3">
      <c r="A107" s="8">
        <v>0</v>
      </c>
      <c r="B107" s="84">
        <v>0.6</v>
      </c>
      <c r="C107" s="9">
        <v>9</v>
      </c>
      <c r="D107" s="9">
        <v>10</v>
      </c>
      <c r="E107" s="9">
        <f t="shared" si="36"/>
        <v>0.9</v>
      </c>
      <c r="F107" s="9">
        <f t="shared" si="37"/>
        <v>0.71953166080365349</v>
      </c>
      <c r="G107" s="42">
        <f t="shared" si="38"/>
        <v>-9.7871703672560983E-3</v>
      </c>
      <c r="H107" s="9">
        <f t="shared" si="39"/>
        <v>-0.98285744675150433</v>
      </c>
      <c r="I107" s="9"/>
      <c r="J107" s="9">
        <f t="shared" si="40"/>
        <v>0.70006937538571801</v>
      </c>
      <c r="K107" s="9">
        <f t="shared" si="41"/>
        <v>-1.1625569188411149</v>
      </c>
      <c r="L107" s="9"/>
      <c r="M107" s="9">
        <f t="shared" si="42"/>
        <v>0.72493421366699573</v>
      </c>
      <c r="N107" s="9">
        <f t="shared" si="43"/>
        <v>-0.93498456510927097</v>
      </c>
      <c r="O107" s="9"/>
      <c r="P107" s="9">
        <f t="shared" si="44"/>
        <v>0.70115079498463029</v>
      </c>
      <c r="Q107" s="9">
        <f t="shared" si="45"/>
        <v>-1.1522771387715234</v>
      </c>
      <c r="R107" s="3"/>
      <c r="AD107" s="5"/>
      <c r="AE107" s="5"/>
      <c r="AF107" s="5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</row>
    <row r="108" spans="1:44" x14ac:dyDescent="0.3">
      <c r="A108" s="8">
        <v>0</v>
      </c>
      <c r="B108" s="84">
        <v>0.6</v>
      </c>
      <c r="C108" s="9">
        <v>8</v>
      </c>
      <c r="D108" s="9">
        <v>10</v>
      </c>
      <c r="E108" s="9">
        <f t="shared" si="36"/>
        <v>0.8</v>
      </c>
      <c r="F108" s="9">
        <f t="shared" si="37"/>
        <v>0.71953166080365349</v>
      </c>
      <c r="G108" s="42">
        <f t="shared" si="38"/>
        <v>-0.30916119232860295</v>
      </c>
      <c r="H108" s="9">
        <f t="shared" si="39"/>
        <v>-0.17180262868820984</v>
      </c>
      <c r="I108" s="9"/>
      <c r="J108" s="9">
        <f t="shared" si="40"/>
        <v>0.70006937538571801</v>
      </c>
      <c r="K108" s="9">
        <f t="shared" si="41"/>
        <v>-0.25699065857239034</v>
      </c>
      <c r="L108" s="9"/>
      <c r="M108" s="9">
        <f t="shared" si="42"/>
        <v>0.72493421366699573</v>
      </c>
      <c r="N108" s="9">
        <f t="shared" si="43"/>
        <v>-0.15086068252337503</v>
      </c>
      <c r="O108" s="9"/>
      <c r="P108" s="9">
        <f t="shared" si="44"/>
        <v>0.70115079498463029</v>
      </c>
      <c r="Q108" s="9">
        <f t="shared" si="45"/>
        <v>-0.25186650018502199</v>
      </c>
      <c r="R108" s="3"/>
      <c r="AD108" s="5"/>
      <c r="AE108" s="5"/>
      <c r="AF108" s="5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</row>
    <row r="109" spans="1:44" x14ac:dyDescent="0.3">
      <c r="A109" s="8">
        <v>0</v>
      </c>
      <c r="B109" s="84">
        <v>0.6</v>
      </c>
      <c r="C109" s="9">
        <v>7</v>
      </c>
      <c r="D109" s="9">
        <v>10</v>
      </c>
      <c r="E109" s="9">
        <f t="shared" si="36"/>
        <v>0.7</v>
      </c>
      <c r="F109" s="9">
        <f t="shared" si="37"/>
        <v>0.71953166080365349</v>
      </c>
      <c r="G109" s="42">
        <f t="shared" si="38"/>
        <v>-1.2571109305902908</v>
      </c>
      <c r="H109" s="9">
        <f t="shared" si="39"/>
        <v>-9.3235269252572861E-3</v>
      </c>
      <c r="I109" s="9"/>
      <c r="J109" s="9">
        <f t="shared" si="40"/>
        <v>0.70006937538571801</v>
      </c>
      <c r="K109" s="9">
        <f t="shared" si="41"/>
        <v>-1.1460400539404624E-7</v>
      </c>
      <c r="L109" s="9"/>
      <c r="M109" s="9">
        <f t="shared" si="42"/>
        <v>0.72493421366699573</v>
      </c>
      <c r="N109" s="9">
        <f t="shared" si="43"/>
        <v>-1.5312516237819873E-2</v>
      </c>
      <c r="O109" s="9"/>
      <c r="P109" s="9">
        <f t="shared" si="44"/>
        <v>0.70115079498463029</v>
      </c>
      <c r="Q109" s="9">
        <f t="shared" si="45"/>
        <v>-3.1577898861689588E-5</v>
      </c>
      <c r="R109" s="3"/>
      <c r="AD109" s="5"/>
      <c r="AE109" s="5"/>
      <c r="AF109" s="5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</row>
    <row r="110" spans="1:44" x14ac:dyDescent="0.3">
      <c r="A110" s="8">
        <v>0</v>
      </c>
      <c r="B110" s="84">
        <v>1.2</v>
      </c>
      <c r="C110" s="9">
        <v>1</v>
      </c>
      <c r="D110" s="9">
        <v>10</v>
      </c>
      <c r="E110" s="9">
        <f t="shared" si="36"/>
        <v>0.1</v>
      </c>
      <c r="F110" s="9">
        <f t="shared" si="37"/>
        <v>0.33297815059401442</v>
      </c>
      <c r="G110" s="42">
        <f t="shared" si="38"/>
        <v>-16.430335357797205</v>
      </c>
      <c r="H110" s="9">
        <f t="shared" si="39"/>
        <v>-1.4932409539279847</v>
      </c>
      <c r="I110" s="9"/>
      <c r="J110" s="9">
        <f t="shared" si="40"/>
        <v>0.32320423396628495</v>
      </c>
      <c r="K110" s="9">
        <f t="shared" si="41"/>
        <v>-1.3921126574936868</v>
      </c>
      <c r="L110" s="9"/>
      <c r="M110" s="9">
        <f t="shared" si="42"/>
        <v>0.33779787257047339</v>
      </c>
      <c r="N110" s="9">
        <f t="shared" si="43"/>
        <v>-1.5441378094553551</v>
      </c>
      <c r="O110" s="9"/>
      <c r="P110" s="9">
        <f t="shared" si="44"/>
        <v>0.32459622776831165</v>
      </c>
      <c r="Q110" s="9">
        <f t="shared" si="45"/>
        <v>-1.4063447840059273</v>
      </c>
      <c r="R110" s="3"/>
      <c r="AD110" s="5"/>
      <c r="AE110" s="5"/>
      <c r="AF110" s="5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</row>
    <row r="111" spans="1:44" x14ac:dyDescent="0.3">
      <c r="A111" s="8">
        <v>0</v>
      </c>
      <c r="B111" s="84">
        <v>1.2</v>
      </c>
      <c r="C111" s="9">
        <v>3</v>
      </c>
      <c r="D111" s="9">
        <v>10</v>
      </c>
      <c r="E111" s="9">
        <f t="shared" si="36"/>
        <v>0.3</v>
      </c>
      <c r="F111" s="9">
        <f t="shared" si="37"/>
        <v>0.33297815059401442</v>
      </c>
      <c r="G111" s="42">
        <f t="shared" si="38"/>
        <v>-9.4673850243052673</v>
      </c>
      <c r="H111" s="9">
        <f t="shared" si="39"/>
        <v>-2.4919525520013697E-2</v>
      </c>
      <c r="I111" s="9"/>
      <c r="J111" s="9">
        <f t="shared" si="40"/>
        <v>0.32320423396628495</v>
      </c>
      <c r="K111" s="9">
        <f t="shared" si="41"/>
        <v>-1.2469622274739522E-2</v>
      </c>
      <c r="L111" s="9"/>
      <c r="M111" s="9">
        <f t="shared" si="42"/>
        <v>0.33779787257047339</v>
      </c>
      <c r="N111" s="9">
        <f t="shared" si="43"/>
        <v>-3.2570785461010054E-2</v>
      </c>
      <c r="O111" s="9"/>
      <c r="P111" s="9">
        <f t="shared" si="44"/>
        <v>0.32459622776831165</v>
      </c>
      <c r="Q111" s="9">
        <f t="shared" si="45"/>
        <v>-1.3988815920014386E-2</v>
      </c>
      <c r="R111" s="3"/>
      <c r="AD111" s="5"/>
      <c r="AE111" s="5"/>
      <c r="AF111" s="5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</row>
    <row r="112" spans="1:44" x14ac:dyDescent="0.3">
      <c r="A112" s="8">
        <v>0</v>
      </c>
      <c r="B112" s="84">
        <v>1.2</v>
      </c>
      <c r="C112" s="9">
        <v>5</v>
      </c>
      <c r="D112" s="9">
        <v>10</v>
      </c>
      <c r="E112" s="9">
        <f t="shared" si="36"/>
        <v>0.5</v>
      </c>
      <c r="F112" s="9">
        <f t="shared" si="37"/>
        <v>0.33297815059401442</v>
      </c>
      <c r="G112" s="42">
        <f t="shared" si="38"/>
        <v>-4.5394191923972604</v>
      </c>
      <c r="H112" s="9">
        <f t="shared" si="39"/>
        <v>-0.59158259869597707</v>
      </c>
      <c r="I112" s="9"/>
      <c r="J112" s="9">
        <f t="shared" si="40"/>
        <v>0.32320423396628495</v>
      </c>
      <c r="K112" s="9">
        <f t="shared" si="41"/>
        <v>-0.66781108863972749</v>
      </c>
      <c r="L112" s="9"/>
      <c r="M112" s="9">
        <f t="shared" si="42"/>
        <v>0.33779787257047339</v>
      </c>
      <c r="N112" s="9">
        <f t="shared" si="43"/>
        <v>-0.55598826305060034</v>
      </c>
      <c r="O112" s="9"/>
      <c r="P112" s="9">
        <f t="shared" si="44"/>
        <v>0.32459622776831165</v>
      </c>
      <c r="Q112" s="9">
        <f t="shared" si="45"/>
        <v>-0.65661734941803673</v>
      </c>
      <c r="AD112" s="5"/>
      <c r="AE112" s="5"/>
      <c r="AF112" s="5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</row>
    <row r="113" spans="1:44" x14ac:dyDescent="0.3">
      <c r="A113" s="8">
        <v>0</v>
      </c>
      <c r="B113" s="84">
        <v>1.2</v>
      </c>
      <c r="C113" s="9">
        <v>5</v>
      </c>
      <c r="D113" s="9">
        <v>10</v>
      </c>
      <c r="E113" s="9">
        <f t="shared" si="36"/>
        <v>0.5</v>
      </c>
      <c r="F113" s="9">
        <f t="shared" si="37"/>
        <v>0.33297815059401442</v>
      </c>
      <c r="G113" s="42">
        <f t="shared" si="38"/>
        <v>-4.5394191923972604</v>
      </c>
      <c r="H113" s="9">
        <f t="shared" si="39"/>
        <v>-0.59158259869597707</v>
      </c>
      <c r="I113" s="9"/>
      <c r="J113" s="9">
        <f t="shared" si="40"/>
        <v>0.32320423396628495</v>
      </c>
      <c r="K113" s="9">
        <f t="shared" si="41"/>
        <v>-0.66781108863972749</v>
      </c>
      <c r="L113" s="9"/>
      <c r="M113" s="9">
        <f t="shared" si="42"/>
        <v>0.33779787257047339</v>
      </c>
      <c r="N113" s="9">
        <f t="shared" si="43"/>
        <v>-0.55598826305060034</v>
      </c>
      <c r="O113" s="9"/>
      <c r="P113" s="9">
        <f t="shared" si="44"/>
        <v>0.32459622776831165</v>
      </c>
      <c r="Q113" s="9">
        <f t="shared" si="45"/>
        <v>-0.65661734941803673</v>
      </c>
      <c r="R113" s="3"/>
      <c r="AD113" s="5"/>
      <c r="AE113" s="5"/>
      <c r="AF113" s="5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</row>
    <row r="114" spans="1:44" x14ac:dyDescent="0.3">
      <c r="A114" s="8">
        <v>0</v>
      </c>
      <c r="B114" s="84">
        <v>1.2</v>
      </c>
      <c r="C114" s="9">
        <v>5</v>
      </c>
      <c r="D114" s="9">
        <v>10</v>
      </c>
      <c r="E114" s="9">
        <f t="shared" si="36"/>
        <v>0.5</v>
      </c>
      <c r="F114" s="9">
        <f t="shared" si="37"/>
        <v>0.33297815059401442</v>
      </c>
      <c r="G114" s="42">
        <f t="shared" si="38"/>
        <v>-4.5394191923972604</v>
      </c>
      <c r="H114" s="9">
        <f t="shared" si="39"/>
        <v>-0.59158259869597707</v>
      </c>
      <c r="I114" s="9"/>
      <c r="J114" s="9">
        <f t="shared" si="40"/>
        <v>0.32320423396628495</v>
      </c>
      <c r="K114" s="9">
        <f t="shared" si="41"/>
        <v>-0.66781108863972749</v>
      </c>
      <c r="L114" s="9"/>
      <c r="M114" s="9">
        <f t="shared" si="42"/>
        <v>0.33779787257047339</v>
      </c>
      <c r="N114" s="9">
        <f t="shared" si="43"/>
        <v>-0.55598826305060034</v>
      </c>
      <c r="O114" s="9"/>
      <c r="P114" s="9">
        <f t="shared" si="44"/>
        <v>0.32459622776831165</v>
      </c>
      <c r="Q114" s="9">
        <f t="shared" si="45"/>
        <v>-0.65661734941803673</v>
      </c>
      <c r="R114" s="3"/>
      <c r="AD114" s="5"/>
      <c r="AE114" s="5"/>
      <c r="AF114" s="5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</row>
    <row r="115" spans="1:44" x14ac:dyDescent="0.3">
      <c r="A115" s="8"/>
      <c r="B115" s="8"/>
      <c r="C115" s="9"/>
      <c r="D115" s="9"/>
      <c r="E115" s="9"/>
      <c r="F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3"/>
      <c r="AD115" s="5"/>
      <c r="AE115" s="5"/>
      <c r="AF115" s="5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</row>
    <row r="116" spans="1:44" x14ac:dyDescent="0.3">
      <c r="A116" s="8"/>
      <c r="B116" s="8"/>
      <c r="C116" s="9"/>
      <c r="D116" s="9"/>
      <c r="E116" s="9"/>
      <c r="F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3"/>
      <c r="AD116" s="5"/>
      <c r="AE116" s="5"/>
      <c r="AF116" s="5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</row>
    <row r="117" spans="1:44" x14ac:dyDescent="0.3">
      <c r="A117" s="8"/>
      <c r="B117" s="8"/>
      <c r="C117" s="9"/>
      <c r="D117" s="9"/>
      <c r="E117" s="9"/>
      <c r="F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3"/>
      <c r="AD117" s="5"/>
      <c r="AE117" s="5"/>
      <c r="AF117" s="5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</row>
    <row r="118" spans="1:44" x14ac:dyDescent="0.3">
      <c r="A118" s="8"/>
      <c r="B118" s="8"/>
      <c r="C118" s="9"/>
      <c r="D118" s="9"/>
      <c r="E118" s="9"/>
      <c r="F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3"/>
      <c r="AD118" s="5"/>
      <c r="AE118" s="5"/>
      <c r="AF118" s="5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</row>
    <row r="119" spans="1:44" x14ac:dyDescent="0.3">
      <c r="A119" s="8"/>
      <c r="B119" s="8"/>
      <c r="C119" s="9"/>
      <c r="D119" s="9"/>
      <c r="E119" s="9"/>
      <c r="F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3"/>
      <c r="AD119" s="5"/>
      <c r="AE119" s="5"/>
      <c r="AF119" s="5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</row>
    <row r="120" spans="1:44" x14ac:dyDescent="0.3">
      <c r="A120" s="8"/>
      <c r="B120" s="8"/>
      <c r="C120" s="9"/>
      <c r="D120" s="9"/>
      <c r="E120" s="9"/>
      <c r="F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3"/>
      <c r="AD120" s="5"/>
      <c r="AE120" s="5"/>
      <c r="AF120" s="5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</row>
    <row r="121" spans="1:44" x14ac:dyDescent="0.3">
      <c r="A121" s="8"/>
      <c r="B121" s="8"/>
      <c r="C121" s="9"/>
      <c r="D121" s="9"/>
      <c r="E121" s="9"/>
      <c r="F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3"/>
      <c r="AD121" s="5"/>
      <c r="AE121" s="5"/>
      <c r="AF121" s="5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</row>
    <row r="122" spans="1:44" x14ac:dyDescent="0.3">
      <c r="A122" s="8"/>
      <c r="B122" s="8"/>
      <c r="C122" s="9"/>
      <c r="D122" s="9"/>
      <c r="E122" s="9"/>
      <c r="F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3"/>
      <c r="AD122" s="5"/>
      <c r="AE122" s="5"/>
      <c r="AF122" s="5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</row>
    <row r="123" spans="1:44" x14ac:dyDescent="0.3">
      <c r="A123" s="8"/>
      <c r="B123" s="8"/>
      <c r="C123" s="9"/>
      <c r="D123" s="9"/>
      <c r="E123" s="9"/>
      <c r="F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3"/>
      <c r="AD123" s="5"/>
      <c r="AE123" s="5"/>
      <c r="AF123" s="5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</row>
    <row r="124" spans="1:44" x14ac:dyDescent="0.3">
      <c r="A124" s="8"/>
      <c r="B124" s="8"/>
      <c r="C124" s="9"/>
      <c r="D124" s="9"/>
      <c r="E124" s="9"/>
      <c r="F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3"/>
      <c r="AD124" s="5"/>
      <c r="AE124" s="5"/>
      <c r="AF124" s="5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</row>
    <row r="125" spans="1:44" x14ac:dyDescent="0.3">
      <c r="A125" s="8"/>
      <c r="B125" s="8"/>
      <c r="C125" s="9"/>
      <c r="D125" s="9"/>
      <c r="E125" s="9"/>
      <c r="F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3"/>
      <c r="AD125" s="5"/>
      <c r="AE125" s="5"/>
      <c r="AF125" s="5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</row>
    <row r="126" spans="1:44" x14ac:dyDescent="0.3">
      <c r="A126" s="8"/>
      <c r="B126" s="8"/>
      <c r="C126" s="9"/>
      <c r="D126" s="9"/>
      <c r="E126" s="9"/>
      <c r="F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3"/>
      <c r="AD126" s="5"/>
      <c r="AE126" s="5"/>
      <c r="AF126" s="5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</row>
    <row r="127" spans="1:44" x14ac:dyDescent="0.3">
      <c r="A127" s="8"/>
      <c r="B127" s="8"/>
      <c r="C127" s="9"/>
      <c r="D127" s="9"/>
      <c r="E127" s="9"/>
      <c r="F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3"/>
      <c r="AD127" s="5"/>
      <c r="AE127" s="5"/>
      <c r="AF127" s="5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</row>
    <row r="128" spans="1:44" x14ac:dyDescent="0.3">
      <c r="A128" s="8"/>
      <c r="B128" s="8"/>
      <c r="C128" s="9"/>
      <c r="D128" s="9"/>
      <c r="E128" s="9"/>
      <c r="F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3"/>
      <c r="AD128" s="5"/>
      <c r="AE128" s="5"/>
      <c r="AF128" s="5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</row>
    <row r="129" spans="1:44" x14ac:dyDescent="0.3">
      <c r="A129" s="8"/>
      <c r="B129" s="8"/>
      <c r="C129" s="9"/>
      <c r="D129" s="9"/>
      <c r="E129" s="9"/>
      <c r="F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3"/>
      <c r="AD129" s="5"/>
      <c r="AE129" s="5"/>
      <c r="AF129" s="5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</row>
    <row r="130" spans="1:44" x14ac:dyDescent="0.3">
      <c r="A130" s="8"/>
      <c r="B130" s="8"/>
      <c r="C130" s="9"/>
      <c r="D130" s="9"/>
      <c r="E130" s="9"/>
      <c r="F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3"/>
      <c r="AD130" s="5"/>
      <c r="AE130" s="5"/>
      <c r="AF130" s="5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</row>
    <row r="131" spans="1:44" x14ac:dyDescent="0.3">
      <c r="A131" s="8"/>
      <c r="B131" s="8"/>
      <c r="C131" s="9"/>
      <c r="D131" s="9"/>
      <c r="E131" s="9"/>
      <c r="F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3"/>
      <c r="AD131" s="5"/>
      <c r="AE131" s="5"/>
      <c r="AF131" s="5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</row>
    <row r="132" spans="1:44" x14ac:dyDescent="0.3">
      <c r="A132" s="8"/>
      <c r="B132" s="8"/>
      <c r="C132" s="9"/>
      <c r="D132" s="9"/>
      <c r="E132" s="9"/>
      <c r="F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3"/>
      <c r="AD132" s="5"/>
      <c r="AE132" s="5"/>
      <c r="AF132" s="5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</row>
    <row r="133" spans="1:44" x14ac:dyDescent="0.3">
      <c r="A133" s="8"/>
      <c r="B133" s="8"/>
      <c r="C133" s="9"/>
      <c r="D133" s="9"/>
      <c r="E133" s="9"/>
      <c r="F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3"/>
      <c r="AD133" s="5"/>
      <c r="AE133" s="5"/>
      <c r="AF133" s="5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</row>
    <row r="134" spans="1:44" x14ac:dyDescent="0.3">
      <c r="A134" s="8"/>
      <c r="B134" s="8"/>
      <c r="C134" s="9"/>
      <c r="D134" s="9"/>
      <c r="E134" s="9"/>
      <c r="F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3"/>
      <c r="AD134" s="5"/>
      <c r="AE134" s="5"/>
      <c r="AF134" s="5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</row>
    <row r="135" spans="1:44" x14ac:dyDescent="0.3">
      <c r="A135" s="86">
        <v>0.1875</v>
      </c>
      <c r="B135" s="86">
        <v>1.8749999999999999E-2</v>
      </c>
      <c r="C135" s="15">
        <v>10</v>
      </c>
      <c r="D135" s="15">
        <v>10</v>
      </c>
      <c r="E135" s="15">
        <f>C135/D135</f>
        <v>1</v>
      </c>
      <c r="F135" s="15">
        <f>CA(A135,B135,$F$2,$F$3,$F$4,$F$5,$F$6)+0.01</f>
        <v>0.96112625678242347</v>
      </c>
      <c r="G135" s="42">
        <f>totalbinLik($G$23,D135,C135)</f>
        <v>-1.2080483808529943</v>
      </c>
      <c r="H135" s="15">
        <f>BinLik(D135,C135,F135)</f>
        <v>-0.39649498014651818</v>
      </c>
      <c r="I135" s="15"/>
      <c r="J135" s="15">
        <f>CA_SA(A135,B135,$J$2,$J$3,$J$4,$J$5,$J$6,$J$7)+0.01</f>
        <v>0.96179787558573793</v>
      </c>
      <c r="K135" s="15">
        <f>BinLik(D135,C135,J135)</f>
        <v>-0.38950958931055824</v>
      </c>
      <c r="L135" s="15"/>
      <c r="M135" s="15">
        <f>CA_DR(A135,B135,$M$2,$M$3,$M$4,$M$5,$M$6,$M$7,$M$8)+0.01</f>
        <v>0.96204493114558787</v>
      </c>
      <c r="N135" s="15">
        <f>BinLik(D135,C135,M135)</f>
        <v>-0.38694123434575978</v>
      </c>
      <c r="O135" s="15"/>
      <c r="P135" s="15">
        <f>CA_DL(A135,B135,$P$2,$P$3,$P$4,$P$5,$P$6,$P$7,$P$8)+0.01</f>
        <v>0.96180946620695806</v>
      </c>
      <c r="Q135" s="15">
        <f>BinLik(D135,C135,P135)</f>
        <v>-0.38938908008844775</v>
      </c>
      <c r="R135" s="3" t="s">
        <v>33</v>
      </c>
      <c r="AD135" s="5"/>
      <c r="AE135" s="5"/>
      <c r="AF135" s="5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</row>
    <row r="136" spans="1:44" x14ac:dyDescent="0.3">
      <c r="A136" s="86">
        <v>0.1875</v>
      </c>
      <c r="B136" s="86">
        <v>1.8749999999999999E-2</v>
      </c>
      <c r="C136" s="15">
        <v>10</v>
      </c>
      <c r="D136" s="15">
        <v>10</v>
      </c>
      <c r="E136" s="15">
        <f t="shared" ref="E136:E199" si="46">C136/D136</f>
        <v>1</v>
      </c>
      <c r="F136" s="15">
        <f t="shared" ref="F136:F199" si="47">CA(A136,B136,$F$2,$F$3,$F$4,$F$5,$F$6)+0.01</f>
        <v>0.96112625678242347</v>
      </c>
      <c r="G136" s="42">
        <f t="shared" ref="G136:G199" si="48">totalbinLik($G$23,D136,C136)</f>
        <v>-1.2080483808529943</v>
      </c>
      <c r="H136" s="15">
        <f t="shared" ref="H136:H199" si="49">BinLik(D136,C136,F136)</f>
        <v>-0.39649498014651818</v>
      </c>
      <c r="I136" s="15"/>
      <c r="J136" s="15">
        <f t="shared" ref="J136:J199" si="50">CA_SA(A136,B136,$J$2,$J$3,$J$4,$J$5,$J$6,$J$7)+0.01</f>
        <v>0.96179787558573793</v>
      </c>
      <c r="K136" s="15">
        <f t="shared" ref="K136:K199" si="51">BinLik(D136,C136,J136)</f>
        <v>-0.38950958931055824</v>
      </c>
      <c r="L136" s="15"/>
      <c r="M136" s="15">
        <f t="shared" ref="M136:M199" si="52">CA_DR(A136,B136,$M$2,$M$3,$M$4,$M$5,$M$6,$M$7,$M$8)+0.01</f>
        <v>0.96204493114558787</v>
      </c>
      <c r="N136" s="15">
        <f t="shared" ref="N136:N199" si="53">BinLik(D136,C136,M136)</f>
        <v>-0.38694123434575978</v>
      </c>
      <c r="O136" s="15"/>
      <c r="P136" s="15">
        <f t="shared" ref="P136:P199" si="54">CA_DL(A136,B136,$P$2,$P$3,$P$4,$P$5,$P$6,$P$7,$P$8)+0.01</f>
        <v>0.96180946620695806</v>
      </c>
      <c r="Q136" s="15">
        <f t="shared" ref="Q136:Q199" si="55">BinLik(D136,C136,P136)</f>
        <v>-0.38938908008844775</v>
      </c>
      <c r="R136" s="3"/>
      <c r="AD136" s="5"/>
      <c r="AE136" s="5"/>
      <c r="AF136" s="5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</row>
    <row r="137" spans="1:44" x14ac:dyDescent="0.3">
      <c r="A137" s="86">
        <v>0.1875</v>
      </c>
      <c r="B137" s="86">
        <v>1.8749999999999999E-2</v>
      </c>
      <c r="C137" s="15">
        <v>10</v>
      </c>
      <c r="D137" s="15">
        <v>10</v>
      </c>
      <c r="E137" s="15">
        <f t="shared" si="46"/>
        <v>1</v>
      </c>
      <c r="F137" s="15">
        <f t="shared" si="47"/>
        <v>0.96112625678242347</v>
      </c>
      <c r="G137" s="42">
        <f t="shared" si="48"/>
        <v>-1.2080483808529943</v>
      </c>
      <c r="H137" s="15">
        <f t="shared" si="49"/>
        <v>-0.39649498014651818</v>
      </c>
      <c r="I137" s="15"/>
      <c r="J137" s="15">
        <f t="shared" si="50"/>
        <v>0.96179787558573793</v>
      </c>
      <c r="K137" s="15">
        <f t="shared" si="51"/>
        <v>-0.38950958931055824</v>
      </c>
      <c r="L137" s="15"/>
      <c r="M137" s="15">
        <f t="shared" si="52"/>
        <v>0.96204493114558787</v>
      </c>
      <c r="N137" s="15">
        <f t="shared" si="53"/>
        <v>-0.38694123434575978</v>
      </c>
      <c r="O137" s="15"/>
      <c r="P137" s="15">
        <f t="shared" si="54"/>
        <v>0.96180946620695806</v>
      </c>
      <c r="Q137" s="15">
        <f t="shared" si="55"/>
        <v>-0.38938908008844775</v>
      </c>
      <c r="R137" s="3"/>
      <c r="AD137" s="5"/>
      <c r="AE137" s="5"/>
      <c r="AF137" s="5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</row>
    <row r="138" spans="1:44" x14ac:dyDescent="0.3">
      <c r="A138" s="86">
        <v>0.1875</v>
      </c>
      <c r="B138" s="86">
        <v>1.8749999999999999E-2</v>
      </c>
      <c r="C138" s="15">
        <v>9</v>
      </c>
      <c r="D138" s="15">
        <v>10</v>
      </c>
      <c r="E138" s="15">
        <f t="shared" si="46"/>
        <v>0.9</v>
      </c>
      <c r="F138" s="15">
        <f t="shared" si="47"/>
        <v>0.96112625678242347</v>
      </c>
      <c r="G138" s="42">
        <f t="shared" si="48"/>
        <v>-9.7871703672560983E-3</v>
      </c>
      <c r="H138" s="15">
        <f t="shared" si="49"/>
        <v>-0.35345198603103023</v>
      </c>
      <c r="I138" s="15"/>
      <c r="J138" s="15">
        <f t="shared" si="50"/>
        <v>0.96179787558573793</v>
      </c>
      <c r="K138" s="15">
        <f t="shared" si="51"/>
        <v>-0.36459304844217211</v>
      </c>
      <c r="L138" s="15"/>
      <c r="M138" s="15">
        <f t="shared" si="52"/>
        <v>0.96204493114558787</v>
      </c>
      <c r="N138" s="15">
        <f t="shared" si="53"/>
        <v>-0.36876959440525436</v>
      </c>
      <c r="O138" s="15"/>
      <c r="P138" s="15">
        <f t="shared" si="54"/>
        <v>0.96180946620695806</v>
      </c>
      <c r="Q138" s="15">
        <f t="shared" si="55"/>
        <v>-0.36478803870869381</v>
      </c>
      <c r="R138" s="3"/>
      <c r="AD138" s="5"/>
      <c r="AE138" s="5"/>
      <c r="AF138" s="5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</row>
    <row r="139" spans="1:44" x14ac:dyDescent="0.3">
      <c r="A139" s="86">
        <v>0.1875</v>
      </c>
      <c r="B139" s="86">
        <v>1.8749999999999999E-2</v>
      </c>
      <c r="C139" s="15">
        <v>10</v>
      </c>
      <c r="D139" s="15">
        <v>10</v>
      </c>
      <c r="E139" s="15">
        <f t="shared" si="46"/>
        <v>1</v>
      </c>
      <c r="F139" s="15">
        <f t="shared" si="47"/>
        <v>0.96112625678242347</v>
      </c>
      <c r="G139" s="42">
        <f t="shared" si="48"/>
        <v>-1.2080483808529943</v>
      </c>
      <c r="H139" s="15">
        <f t="shared" si="49"/>
        <v>-0.39649498014651818</v>
      </c>
      <c r="I139" s="15"/>
      <c r="J139" s="15">
        <f t="shared" si="50"/>
        <v>0.96179787558573793</v>
      </c>
      <c r="K139" s="15">
        <f t="shared" si="51"/>
        <v>-0.38950958931055824</v>
      </c>
      <c r="L139" s="15"/>
      <c r="M139" s="15">
        <f t="shared" si="52"/>
        <v>0.96204493114558787</v>
      </c>
      <c r="N139" s="15">
        <f t="shared" si="53"/>
        <v>-0.38694123434575978</v>
      </c>
      <c r="O139" s="15"/>
      <c r="P139" s="15">
        <f t="shared" si="54"/>
        <v>0.96180946620695806</v>
      </c>
      <c r="Q139" s="15">
        <f t="shared" si="55"/>
        <v>-0.38938908008844775</v>
      </c>
      <c r="R139" s="3"/>
      <c r="AD139" s="5"/>
      <c r="AE139" s="5"/>
      <c r="AF139" s="5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</row>
    <row r="140" spans="1:44" x14ac:dyDescent="0.3">
      <c r="A140" s="86">
        <v>0.375</v>
      </c>
      <c r="B140" s="86">
        <v>3.7499999999999999E-2</v>
      </c>
      <c r="C140" s="15">
        <v>10</v>
      </c>
      <c r="D140" s="15">
        <v>10</v>
      </c>
      <c r="E140" s="15">
        <f t="shared" si="46"/>
        <v>1</v>
      </c>
      <c r="F140" s="15">
        <f t="shared" si="47"/>
        <v>0.95654530654877323</v>
      </c>
      <c r="G140" s="42">
        <f t="shared" si="48"/>
        <v>-1.2080483808529943</v>
      </c>
      <c r="H140" s="15">
        <f t="shared" si="49"/>
        <v>-0.44427124209734187</v>
      </c>
      <c r="I140" s="15"/>
      <c r="J140" s="15">
        <f t="shared" si="50"/>
        <v>0.9574317533510408</v>
      </c>
      <c r="K140" s="15">
        <f t="shared" si="51"/>
        <v>-0.43500836341168408</v>
      </c>
      <c r="L140" s="15"/>
      <c r="M140" s="15">
        <f t="shared" si="52"/>
        <v>0.95867341595788691</v>
      </c>
      <c r="N140" s="15">
        <f t="shared" si="53"/>
        <v>-0.42204808544224037</v>
      </c>
      <c r="O140" s="15"/>
      <c r="P140" s="15">
        <f t="shared" si="54"/>
        <v>0.95756113321267455</v>
      </c>
      <c r="Q140" s="15">
        <f t="shared" si="55"/>
        <v>-0.43365713268139383</v>
      </c>
      <c r="R140" s="3"/>
      <c r="AD140" s="5"/>
      <c r="AE140" s="5"/>
      <c r="AF140" s="5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</row>
    <row r="141" spans="1:44" x14ac:dyDescent="0.3">
      <c r="A141" s="86">
        <v>0.375</v>
      </c>
      <c r="B141" s="86">
        <v>3.7499999999999999E-2</v>
      </c>
      <c r="C141" s="15">
        <v>10</v>
      </c>
      <c r="D141" s="15">
        <v>10</v>
      </c>
      <c r="E141" s="15">
        <f t="shared" si="46"/>
        <v>1</v>
      </c>
      <c r="F141" s="15">
        <f t="shared" si="47"/>
        <v>0.95654530654877323</v>
      </c>
      <c r="G141" s="42">
        <f t="shared" si="48"/>
        <v>-1.2080483808529943</v>
      </c>
      <c r="H141" s="15">
        <f t="shared" si="49"/>
        <v>-0.44427124209734187</v>
      </c>
      <c r="I141" s="15"/>
      <c r="J141" s="15">
        <f t="shared" si="50"/>
        <v>0.9574317533510408</v>
      </c>
      <c r="K141" s="15">
        <f t="shared" si="51"/>
        <v>-0.43500836341168408</v>
      </c>
      <c r="L141" s="15"/>
      <c r="M141" s="15">
        <f t="shared" si="52"/>
        <v>0.95867341595788691</v>
      </c>
      <c r="N141" s="15">
        <f t="shared" si="53"/>
        <v>-0.42204808544224037</v>
      </c>
      <c r="O141" s="15"/>
      <c r="P141" s="15">
        <f t="shared" si="54"/>
        <v>0.95756113321267455</v>
      </c>
      <c r="Q141" s="15">
        <f t="shared" si="55"/>
        <v>-0.43365713268139383</v>
      </c>
      <c r="R141" s="3"/>
      <c r="AD141" s="5"/>
      <c r="AE141" s="5"/>
      <c r="AF141" s="5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</row>
    <row r="142" spans="1:44" x14ac:dyDescent="0.3">
      <c r="A142" s="86">
        <v>0.375</v>
      </c>
      <c r="B142" s="86">
        <v>3.7499999999999999E-2</v>
      </c>
      <c r="C142" s="15">
        <v>10</v>
      </c>
      <c r="D142" s="15">
        <v>10</v>
      </c>
      <c r="E142" s="15">
        <f t="shared" si="46"/>
        <v>1</v>
      </c>
      <c r="F142" s="15">
        <f t="shared" si="47"/>
        <v>0.95654530654877323</v>
      </c>
      <c r="G142" s="42">
        <f t="shared" si="48"/>
        <v>-1.2080483808529943</v>
      </c>
      <c r="H142" s="15">
        <f t="shared" si="49"/>
        <v>-0.44427124209734187</v>
      </c>
      <c r="I142" s="15"/>
      <c r="J142" s="15">
        <f t="shared" si="50"/>
        <v>0.9574317533510408</v>
      </c>
      <c r="K142" s="15">
        <f t="shared" si="51"/>
        <v>-0.43500836341168408</v>
      </c>
      <c r="L142" s="15"/>
      <c r="M142" s="15">
        <f t="shared" si="52"/>
        <v>0.95867341595788691</v>
      </c>
      <c r="N142" s="15">
        <f t="shared" si="53"/>
        <v>-0.42204808544224037</v>
      </c>
      <c r="O142" s="15"/>
      <c r="P142" s="15">
        <f t="shared" si="54"/>
        <v>0.95756113321267455</v>
      </c>
      <c r="Q142" s="15">
        <f t="shared" si="55"/>
        <v>-0.43365713268139383</v>
      </c>
      <c r="R142" s="3"/>
      <c r="AD142" s="5"/>
      <c r="AE142" s="5"/>
      <c r="AF142" s="5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44" x14ac:dyDescent="0.3">
      <c r="A143" s="86">
        <v>0.375</v>
      </c>
      <c r="B143" s="86">
        <v>3.7499999999999999E-2</v>
      </c>
      <c r="C143" s="15">
        <v>9</v>
      </c>
      <c r="D143" s="15">
        <v>10</v>
      </c>
      <c r="E143" s="15">
        <f t="shared" si="46"/>
        <v>0.9</v>
      </c>
      <c r="F143" s="15">
        <f t="shared" si="47"/>
        <v>0.95654530654877323</v>
      </c>
      <c r="G143" s="42">
        <f t="shared" si="48"/>
        <v>-9.7871703672560983E-3</v>
      </c>
      <c r="H143" s="15">
        <f t="shared" si="49"/>
        <v>-0.28505079748660656</v>
      </c>
      <c r="I143" s="15"/>
      <c r="J143" s="15">
        <f t="shared" si="50"/>
        <v>0.9574317533510408</v>
      </c>
      <c r="K143" s="15">
        <f t="shared" si="51"/>
        <v>-0.29732448062674188</v>
      </c>
      <c r="L143" s="15"/>
      <c r="M143" s="15">
        <f t="shared" si="52"/>
        <v>0.95867341595788691</v>
      </c>
      <c r="N143" s="15">
        <f t="shared" si="53"/>
        <v>-0.31526284766560975</v>
      </c>
      <c r="O143" s="15"/>
      <c r="P143" s="15">
        <f t="shared" si="54"/>
        <v>0.95756113321267455</v>
      </c>
      <c r="Q143" s="15">
        <f t="shared" si="55"/>
        <v>-0.29915235261552475</v>
      </c>
      <c r="R143" s="3"/>
      <c r="AD143" s="5"/>
      <c r="AE143" s="5"/>
      <c r="AF143" s="5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</row>
    <row r="144" spans="1:44" x14ac:dyDescent="0.3">
      <c r="A144" s="86">
        <v>0.375</v>
      </c>
      <c r="B144" s="86">
        <v>3.7499999999999999E-2</v>
      </c>
      <c r="C144" s="15">
        <v>9</v>
      </c>
      <c r="D144" s="15">
        <v>10</v>
      </c>
      <c r="E144" s="15">
        <f t="shared" si="46"/>
        <v>0.9</v>
      </c>
      <c r="F144" s="15">
        <f t="shared" si="47"/>
        <v>0.95654530654877323</v>
      </c>
      <c r="G144" s="42">
        <f t="shared" si="48"/>
        <v>-9.7871703672560983E-3</v>
      </c>
      <c r="H144" s="15">
        <f t="shared" si="49"/>
        <v>-0.28505079748660656</v>
      </c>
      <c r="I144" s="15"/>
      <c r="J144" s="15">
        <f t="shared" si="50"/>
        <v>0.9574317533510408</v>
      </c>
      <c r="K144" s="15">
        <f t="shared" si="51"/>
        <v>-0.29732448062674188</v>
      </c>
      <c r="L144" s="15"/>
      <c r="M144" s="15">
        <f t="shared" si="52"/>
        <v>0.95867341595788691</v>
      </c>
      <c r="N144" s="15">
        <f t="shared" si="53"/>
        <v>-0.31526284766560975</v>
      </c>
      <c r="O144" s="15"/>
      <c r="P144" s="15">
        <f t="shared" si="54"/>
        <v>0.95756113321267455</v>
      </c>
      <c r="Q144" s="15">
        <f t="shared" si="55"/>
        <v>-0.29915235261552475</v>
      </c>
      <c r="R144" s="3"/>
      <c r="AD144" s="5"/>
      <c r="AE144" s="5"/>
      <c r="AF144" s="5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</row>
    <row r="145" spans="1:44" x14ac:dyDescent="0.3">
      <c r="A145" s="86">
        <v>0.75</v>
      </c>
      <c r="B145" s="86">
        <v>7.4999999999999997E-2</v>
      </c>
      <c r="C145" s="15">
        <v>8</v>
      </c>
      <c r="D145" s="15">
        <v>10</v>
      </c>
      <c r="E145" s="15">
        <f t="shared" si="46"/>
        <v>0.8</v>
      </c>
      <c r="F145" s="15">
        <f t="shared" si="47"/>
        <v>0.94622827600500026</v>
      </c>
      <c r="G145" s="42">
        <f t="shared" si="48"/>
        <v>-0.30916119232860295</v>
      </c>
      <c r="H145" s="15">
        <f t="shared" si="49"/>
        <v>-1.284162277022886</v>
      </c>
      <c r="I145" s="15"/>
      <c r="J145" s="15">
        <f t="shared" si="50"/>
        <v>0.9483646979247109</v>
      </c>
      <c r="K145" s="15">
        <f t="shared" si="51"/>
        <v>-1.3472043339929041</v>
      </c>
      <c r="L145" s="15"/>
      <c r="M145" s="15">
        <f t="shared" si="52"/>
        <v>0.95220297396031484</v>
      </c>
      <c r="N145" s="15">
        <f t="shared" si="53"/>
        <v>-1.4693759527434151</v>
      </c>
      <c r="O145" s="15"/>
      <c r="P145" s="15">
        <f t="shared" si="54"/>
        <v>0.94874978832506418</v>
      </c>
      <c r="Q145" s="15">
        <f t="shared" si="55"/>
        <v>-1.3589282131299905</v>
      </c>
      <c r="R145" s="3"/>
      <c r="AD145" s="5"/>
      <c r="AE145" s="5"/>
      <c r="AF145" s="5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</row>
    <row r="146" spans="1:44" x14ac:dyDescent="0.3">
      <c r="A146" s="86">
        <v>0.75</v>
      </c>
      <c r="B146" s="86">
        <v>7.4999999999999997E-2</v>
      </c>
      <c r="C146" s="15">
        <v>9</v>
      </c>
      <c r="D146" s="15">
        <v>10</v>
      </c>
      <c r="E146" s="15">
        <f t="shared" si="46"/>
        <v>0.9</v>
      </c>
      <c r="F146" s="15">
        <f t="shared" si="47"/>
        <v>0.94622827600500026</v>
      </c>
      <c r="G146" s="42">
        <f t="shared" si="48"/>
        <v>-9.7871703672560983E-3</v>
      </c>
      <c r="H146" s="15">
        <f t="shared" si="49"/>
        <v>-0.16962068469193475</v>
      </c>
      <c r="I146" s="15"/>
      <c r="J146" s="15">
        <f t="shared" si="50"/>
        <v>0.9483646979247109</v>
      </c>
      <c r="K146" s="15">
        <f t="shared" si="51"/>
        <v>-0.18986529204243002</v>
      </c>
      <c r="L146" s="15"/>
      <c r="M146" s="15">
        <f t="shared" si="52"/>
        <v>0.95220297396031484</v>
      </c>
      <c r="N146" s="15">
        <f t="shared" si="53"/>
        <v>-0.23075565502240225</v>
      </c>
      <c r="O146" s="15"/>
      <c r="P146" s="15">
        <f t="shared" si="54"/>
        <v>0.94874978832506418</v>
      </c>
      <c r="Q146" s="15">
        <f t="shared" si="55"/>
        <v>-0.19369735724949677</v>
      </c>
      <c r="R146" s="3"/>
      <c r="AD146" s="5"/>
      <c r="AE146" s="5"/>
      <c r="AF146" s="5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</row>
    <row r="147" spans="1:44" x14ac:dyDescent="0.3">
      <c r="A147" s="86">
        <v>0.75</v>
      </c>
      <c r="B147" s="86">
        <v>7.4999999999999997E-2</v>
      </c>
      <c r="C147" s="15">
        <v>9</v>
      </c>
      <c r="D147" s="15">
        <v>10</v>
      </c>
      <c r="E147" s="15">
        <f t="shared" si="46"/>
        <v>0.9</v>
      </c>
      <c r="F147" s="15">
        <f t="shared" si="47"/>
        <v>0.94622827600500026</v>
      </c>
      <c r="G147" s="42">
        <f t="shared" si="48"/>
        <v>-9.7871703672560983E-3</v>
      </c>
      <c r="H147" s="15">
        <f t="shared" si="49"/>
        <v>-0.16962068469193475</v>
      </c>
      <c r="I147" s="15"/>
      <c r="J147" s="15">
        <f t="shared" si="50"/>
        <v>0.9483646979247109</v>
      </c>
      <c r="K147" s="15">
        <f t="shared" si="51"/>
        <v>-0.18986529204243002</v>
      </c>
      <c r="L147" s="15"/>
      <c r="M147" s="15">
        <f t="shared" si="52"/>
        <v>0.95220297396031484</v>
      </c>
      <c r="N147" s="15">
        <f t="shared" si="53"/>
        <v>-0.23075565502240225</v>
      </c>
      <c r="O147" s="15"/>
      <c r="P147" s="15">
        <f t="shared" si="54"/>
        <v>0.94874978832506418</v>
      </c>
      <c r="Q147" s="15">
        <f t="shared" si="55"/>
        <v>-0.19369735724949677</v>
      </c>
      <c r="R147" s="3"/>
      <c r="AD147" s="5"/>
      <c r="AE147" s="5"/>
      <c r="AF147" s="5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</row>
    <row r="148" spans="1:44" x14ac:dyDescent="0.3">
      <c r="A148" s="86">
        <v>0.75</v>
      </c>
      <c r="B148" s="86">
        <v>7.4999999999999997E-2</v>
      </c>
      <c r="C148" s="15">
        <v>10</v>
      </c>
      <c r="D148" s="15">
        <v>10</v>
      </c>
      <c r="E148" s="15">
        <f t="shared" si="46"/>
        <v>1</v>
      </c>
      <c r="F148" s="15">
        <f t="shared" si="47"/>
        <v>0.94622827600500026</v>
      </c>
      <c r="G148" s="42">
        <f t="shared" si="48"/>
        <v>-1.2080483808529943</v>
      </c>
      <c r="H148" s="15">
        <f t="shared" si="49"/>
        <v>-0.55271432480806815</v>
      </c>
      <c r="I148" s="15"/>
      <c r="J148" s="15">
        <f t="shared" si="50"/>
        <v>0.9483646979247109</v>
      </c>
      <c r="K148" s="15">
        <f t="shared" si="51"/>
        <v>-0.53016148253904272</v>
      </c>
      <c r="L148" s="15"/>
      <c r="M148" s="15">
        <f t="shared" si="52"/>
        <v>0.95220297396031484</v>
      </c>
      <c r="N148" s="15">
        <f t="shared" si="53"/>
        <v>-0.48977058974847598</v>
      </c>
      <c r="O148" s="15"/>
      <c r="P148" s="15">
        <f t="shared" si="54"/>
        <v>0.94874978832506418</v>
      </c>
      <c r="Q148" s="15">
        <f t="shared" si="55"/>
        <v>-0.52610173381609027</v>
      </c>
      <c r="R148" s="3"/>
      <c r="AD148" s="5"/>
      <c r="AE148" s="5"/>
      <c r="AF148" s="5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</row>
    <row r="149" spans="1:44" x14ac:dyDescent="0.3">
      <c r="A149" s="86">
        <v>0.75</v>
      </c>
      <c r="B149" s="86">
        <v>7.4999999999999997E-2</v>
      </c>
      <c r="C149" s="15">
        <v>7</v>
      </c>
      <c r="D149" s="15">
        <v>10</v>
      </c>
      <c r="E149" s="15">
        <f t="shared" si="46"/>
        <v>0.7</v>
      </c>
      <c r="F149" s="15">
        <f t="shared" si="47"/>
        <v>0.94622827600500026</v>
      </c>
      <c r="G149" s="42">
        <f t="shared" si="48"/>
        <v>-1.2571109305902908</v>
      </c>
      <c r="H149" s="15">
        <f t="shared" si="49"/>
        <v>-3.0472795856541772</v>
      </c>
      <c r="I149" s="15"/>
      <c r="J149" s="15">
        <f t="shared" si="50"/>
        <v>0.9483646979247109</v>
      </c>
      <c r="K149" s="15">
        <f t="shared" si="51"/>
        <v>-3.1531190922437191</v>
      </c>
      <c r="L149" s="15"/>
      <c r="M149" s="15">
        <f t="shared" si="52"/>
        <v>0.95220297396031484</v>
      </c>
      <c r="N149" s="15">
        <f t="shared" si="53"/>
        <v>-3.3565719667647693</v>
      </c>
      <c r="O149" s="15"/>
      <c r="P149" s="15">
        <f t="shared" si="54"/>
        <v>0.94874978832506418</v>
      </c>
      <c r="Q149" s="15">
        <f t="shared" si="55"/>
        <v>-3.172734785310825</v>
      </c>
      <c r="R149" s="3"/>
      <c r="AD149" s="5"/>
      <c r="AE149" s="5"/>
      <c r="AF149" s="5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</row>
    <row r="150" spans="1:44" x14ac:dyDescent="0.3">
      <c r="A150" s="86">
        <v>1.5</v>
      </c>
      <c r="B150" s="86">
        <v>0.15</v>
      </c>
      <c r="C150" s="15">
        <v>9</v>
      </c>
      <c r="D150" s="15">
        <v>10</v>
      </c>
      <c r="E150" s="15">
        <f t="shared" si="46"/>
        <v>0.9</v>
      </c>
      <c r="F150" s="15">
        <f t="shared" si="47"/>
        <v>0.92048657174967508</v>
      </c>
      <c r="G150" s="42">
        <f t="shared" si="48"/>
        <v>-9.7871703672560983E-3</v>
      </c>
      <c r="H150" s="15">
        <f t="shared" si="49"/>
        <v>-2.667542656449684E-2</v>
      </c>
      <c r="I150" s="15"/>
      <c r="J150" s="15">
        <f t="shared" si="50"/>
        <v>0.92784149954694617</v>
      </c>
      <c r="K150" s="15">
        <f t="shared" si="51"/>
        <v>-5.2109678560450678E-2</v>
      </c>
      <c r="L150" s="15"/>
      <c r="M150" s="15">
        <f t="shared" si="52"/>
        <v>0.93899648463095842</v>
      </c>
      <c r="N150" s="15">
        <f t="shared" si="53"/>
        <v>-0.11248594521507232</v>
      </c>
      <c r="O150" s="15"/>
      <c r="P150" s="15">
        <f t="shared" si="54"/>
        <v>0.92871841702021762</v>
      </c>
      <c r="Q150" s="15">
        <f t="shared" si="55"/>
        <v>-5.5834759099249398E-2</v>
      </c>
      <c r="R150" s="3"/>
      <c r="AD150" s="5"/>
      <c r="AE150" s="5"/>
      <c r="AF150" s="5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</row>
    <row r="151" spans="1:44" x14ac:dyDescent="0.3">
      <c r="A151" s="86">
        <v>1.5</v>
      </c>
      <c r="B151" s="86">
        <v>0.15</v>
      </c>
      <c r="C151" s="15">
        <v>10</v>
      </c>
      <c r="D151" s="15">
        <v>10</v>
      </c>
      <c r="E151" s="15">
        <f t="shared" si="46"/>
        <v>1</v>
      </c>
      <c r="F151" s="15">
        <f t="shared" si="47"/>
        <v>0.92048657174967508</v>
      </c>
      <c r="G151" s="42">
        <f t="shared" si="48"/>
        <v>-1.2080483808529943</v>
      </c>
      <c r="H151" s="15">
        <f t="shared" si="49"/>
        <v>-0.8285286641141788</v>
      </c>
      <c r="I151" s="15"/>
      <c r="J151" s="15">
        <f t="shared" si="50"/>
        <v>0.92784149954694617</v>
      </c>
      <c r="K151" s="15">
        <f t="shared" si="51"/>
        <v>-0.7489435868555685</v>
      </c>
      <c r="L151" s="15"/>
      <c r="M151" s="15">
        <f t="shared" si="52"/>
        <v>0.93899648463095842</v>
      </c>
      <c r="N151" s="15">
        <f t="shared" si="53"/>
        <v>-0.6294354351788044</v>
      </c>
      <c r="O151" s="15"/>
      <c r="P151" s="15">
        <f t="shared" si="54"/>
        <v>0.92871841702021762</v>
      </c>
      <c r="Q151" s="15">
        <f t="shared" si="55"/>
        <v>-0.73949689428551313</v>
      </c>
      <c r="R151" s="3"/>
      <c r="AD151" s="5"/>
      <c r="AE151" s="5"/>
      <c r="AF151" s="5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</row>
    <row r="152" spans="1:44" x14ac:dyDescent="0.3">
      <c r="A152" s="86">
        <v>1.5</v>
      </c>
      <c r="B152" s="86">
        <v>0.15</v>
      </c>
      <c r="C152" s="15">
        <v>10</v>
      </c>
      <c r="D152" s="15">
        <v>10</v>
      </c>
      <c r="E152" s="15">
        <f t="shared" si="46"/>
        <v>1</v>
      </c>
      <c r="F152" s="15">
        <f t="shared" si="47"/>
        <v>0.92048657174967508</v>
      </c>
      <c r="G152" s="42">
        <f t="shared" si="48"/>
        <v>-1.2080483808529943</v>
      </c>
      <c r="H152" s="15">
        <f t="shared" si="49"/>
        <v>-0.8285286641141788</v>
      </c>
      <c r="I152" s="15"/>
      <c r="J152" s="15">
        <f t="shared" si="50"/>
        <v>0.92784149954694617</v>
      </c>
      <c r="K152" s="15">
        <f t="shared" si="51"/>
        <v>-0.7489435868555685</v>
      </c>
      <c r="L152" s="15"/>
      <c r="M152" s="15">
        <f t="shared" si="52"/>
        <v>0.93899648463095842</v>
      </c>
      <c r="N152" s="15">
        <f t="shared" si="53"/>
        <v>-0.6294354351788044</v>
      </c>
      <c r="O152" s="15"/>
      <c r="P152" s="15">
        <f t="shared" si="54"/>
        <v>0.92871841702021762</v>
      </c>
      <c r="Q152" s="15">
        <f t="shared" si="55"/>
        <v>-0.73949689428551313</v>
      </c>
      <c r="R152" s="3"/>
      <c r="AD152" s="5"/>
      <c r="AE152" s="5"/>
      <c r="AF152" s="5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</row>
    <row r="153" spans="1:44" x14ac:dyDescent="0.3">
      <c r="A153" s="86">
        <v>1.5</v>
      </c>
      <c r="B153" s="86">
        <v>0.15</v>
      </c>
      <c r="C153" s="15">
        <v>10</v>
      </c>
      <c r="D153" s="15">
        <v>10</v>
      </c>
      <c r="E153" s="15">
        <f t="shared" si="46"/>
        <v>1</v>
      </c>
      <c r="F153" s="15">
        <f t="shared" si="47"/>
        <v>0.92048657174967508</v>
      </c>
      <c r="G153" s="42">
        <f t="shared" si="48"/>
        <v>-1.2080483808529943</v>
      </c>
      <c r="H153" s="15">
        <f t="shared" si="49"/>
        <v>-0.8285286641141788</v>
      </c>
      <c r="I153" s="15"/>
      <c r="J153" s="15">
        <f t="shared" si="50"/>
        <v>0.92784149954694617</v>
      </c>
      <c r="K153" s="15">
        <f t="shared" si="51"/>
        <v>-0.7489435868555685</v>
      </c>
      <c r="L153" s="15"/>
      <c r="M153" s="15">
        <f t="shared" si="52"/>
        <v>0.93899648463095842</v>
      </c>
      <c r="N153" s="15">
        <f t="shared" si="53"/>
        <v>-0.6294354351788044</v>
      </c>
      <c r="O153" s="15"/>
      <c r="P153" s="15">
        <f t="shared" si="54"/>
        <v>0.92871841702021762</v>
      </c>
      <c r="Q153" s="15">
        <f t="shared" si="55"/>
        <v>-0.73949689428551313</v>
      </c>
      <c r="R153" s="3"/>
      <c r="AD153" s="5"/>
      <c r="AE153" s="5"/>
      <c r="AF153" s="5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</row>
    <row r="154" spans="1:44" x14ac:dyDescent="0.3">
      <c r="A154" s="86">
        <v>1.5</v>
      </c>
      <c r="B154" s="86">
        <v>0.15</v>
      </c>
      <c r="C154" s="15">
        <v>9</v>
      </c>
      <c r="D154" s="15">
        <v>10</v>
      </c>
      <c r="E154" s="15">
        <f t="shared" si="46"/>
        <v>0.9</v>
      </c>
      <c r="F154" s="15">
        <f t="shared" si="47"/>
        <v>0.92048657174967508</v>
      </c>
      <c r="G154" s="42">
        <f t="shared" si="48"/>
        <v>-9.7871703672560983E-3</v>
      </c>
      <c r="H154" s="15">
        <f t="shared" si="49"/>
        <v>-2.667542656449684E-2</v>
      </c>
      <c r="I154" s="15"/>
      <c r="J154" s="15">
        <f t="shared" si="50"/>
        <v>0.92784149954694617</v>
      </c>
      <c r="K154" s="15">
        <f t="shared" si="51"/>
        <v>-5.2109678560450678E-2</v>
      </c>
      <c r="L154" s="15"/>
      <c r="M154" s="15">
        <f t="shared" si="52"/>
        <v>0.93899648463095842</v>
      </c>
      <c r="N154" s="15">
        <f t="shared" si="53"/>
        <v>-0.11248594521507232</v>
      </c>
      <c r="O154" s="15"/>
      <c r="P154" s="15">
        <f t="shared" si="54"/>
        <v>0.92871841702021762</v>
      </c>
      <c r="Q154" s="15">
        <f t="shared" si="55"/>
        <v>-5.5834759099249398E-2</v>
      </c>
      <c r="R154" s="3"/>
      <c r="AD154" s="5"/>
      <c r="AE154" s="5"/>
      <c r="AF154" s="5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</row>
    <row r="155" spans="1:44" x14ac:dyDescent="0.3">
      <c r="A155" s="86">
        <v>3</v>
      </c>
      <c r="B155" s="86">
        <v>0.3</v>
      </c>
      <c r="C155" s="15">
        <v>8</v>
      </c>
      <c r="D155" s="15">
        <v>10</v>
      </c>
      <c r="E155" s="15">
        <f t="shared" si="46"/>
        <v>0.8</v>
      </c>
      <c r="F155" s="15">
        <f t="shared" si="47"/>
        <v>0.84845558577015145</v>
      </c>
      <c r="G155" s="42">
        <f t="shared" si="48"/>
        <v>-0.30916119232860295</v>
      </c>
      <c r="H155" s="15">
        <f t="shared" si="49"/>
        <v>-8.4429152828566612E-2</v>
      </c>
      <c r="I155" s="15"/>
      <c r="J155" s="15">
        <f t="shared" si="50"/>
        <v>0.87586224465405982</v>
      </c>
      <c r="K155" s="15">
        <f t="shared" si="51"/>
        <v>-0.22907420718835325</v>
      </c>
      <c r="L155" s="15"/>
      <c r="M155" s="15">
        <f t="shared" si="52"/>
        <v>0.90938336162822275</v>
      </c>
      <c r="N155" s="15">
        <f t="shared" si="53"/>
        <v>-0.5581189072065722</v>
      </c>
      <c r="O155" s="15"/>
      <c r="P155" s="15">
        <f t="shared" si="54"/>
        <v>0.87692014020189246</v>
      </c>
      <c r="Q155" s="15">
        <f t="shared" si="55"/>
        <v>-0.2365343075739943</v>
      </c>
      <c r="R155" s="3"/>
      <c r="AF155" s="5"/>
      <c r="AG155" s="3"/>
      <c r="AH155" s="3"/>
      <c r="AI155" s="3"/>
      <c r="AJ155" s="3"/>
      <c r="AM155" s="3"/>
      <c r="AN155" s="3"/>
      <c r="AO155" s="3"/>
      <c r="AP155" s="3"/>
      <c r="AQ155" s="3"/>
      <c r="AR155" s="3"/>
    </row>
    <row r="156" spans="1:44" x14ac:dyDescent="0.3">
      <c r="A156" s="86">
        <v>3</v>
      </c>
      <c r="B156" s="86">
        <v>0.3</v>
      </c>
      <c r="C156" s="15">
        <v>9</v>
      </c>
      <c r="D156" s="15">
        <v>10</v>
      </c>
      <c r="E156" s="15">
        <f t="shared" si="46"/>
        <v>0.9</v>
      </c>
      <c r="F156" s="15">
        <f t="shared" si="47"/>
        <v>0.84845558577015145</v>
      </c>
      <c r="G156" s="42">
        <f t="shared" si="48"/>
        <v>-9.7871703672560983E-3</v>
      </c>
      <c r="H156" s="15">
        <f t="shared" si="49"/>
        <v>-0.11508466061810158</v>
      </c>
      <c r="I156" s="15"/>
      <c r="J156" s="15">
        <f t="shared" si="50"/>
        <v>0.87586224465405982</v>
      </c>
      <c r="K156" s="15">
        <f t="shared" si="51"/>
        <v>-2.8451764234245697E-2</v>
      </c>
      <c r="L156" s="15"/>
      <c r="M156" s="15">
        <f t="shared" si="52"/>
        <v>0.90938336162822275</v>
      </c>
      <c r="N156" s="15">
        <f t="shared" si="53"/>
        <v>-5.1845061143407922E-3</v>
      </c>
      <c r="O156" s="15"/>
      <c r="P156" s="15">
        <f t="shared" si="54"/>
        <v>0.87692014020189246</v>
      </c>
      <c r="Q156" s="15">
        <f t="shared" si="55"/>
        <v>-2.6146292359820078E-2</v>
      </c>
      <c r="R156" s="3"/>
      <c r="AF156" s="5"/>
      <c r="AG156" s="3"/>
      <c r="AH156" s="3"/>
      <c r="AI156" s="3"/>
      <c r="AJ156" s="3"/>
      <c r="AM156" s="3"/>
      <c r="AN156" s="3"/>
      <c r="AO156" s="3"/>
      <c r="AP156" s="3"/>
      <c r="AQ156" s="3"/>
      <c r="AR156" s="3"/>
    </row>
    <row r="157" spans="1:44" x14ac:dyDescent="0.3">
      <c r="A157" s="86">
        <v>3</v>
      </c>
      <c r="B157" s="86">
        <v>0.3</v>
      </c>
      <c r="C157" s="15">
        <v>10</v>
      </c>
      <c r="D157" s="15">
        <v>10</v>
      </c>
      <c r="E157" s="15">
        <f t="shared" si="46"/>
        <v>1</v>
      </c>
      <c r="F157" s="15">
        <f t="shared" si="47"/>
        <v>0.84845558577015145</v>
      </c>
      <c r="G157" s="42">
        <f t="shared" si="48"/>
        <v>-1.2080483808529943</v>
      </c>
      <c r="H157" s="15">
        <f t="shared" si="49"/>
        <v>-1.643375400854723</v>
      </c>
      <c r="I157" s="15"/>
      <c r="J157" s="15">
        <f t="shared" si="50"/>
        <v>0.87586224465405982</v>
      </c>
      <c r="K157" s="15">
        <f t="shared" si="51"/>
        <v>-1.3254645537272236</v>
      </c>
      <c r="L157" s="15"/>
      <c r="M157" s="15">
        <f t="shared" si="52"/>
        <v>0.90938336162822275</v>
      </c>
      <c r="N157" s="15">
        <f t="shared" si="53"/>
        <v>-0.94988533746919446</v>
      </c>
      <c r="O157" s="15"/>
      <c r="P157" s="15">
        <f t="shared" si="54"/>
        <v>0.87692014020189246</v>
      </c>
      <c r="Q157" s="15">
        <f t="shared" si="55"/>
        <v>-1.3133935095927329</v>
      </c>
      <c r="R157" s="3"/>
      <c r="AF157" s="5"/>
      <c r="AG157" s="3"/>
      <c r="AH157" s="3"/>
      <c r="AI157" s="3"/>
      <c r="AJ157" s="3"/>
      <c r="AM157" s="3"/>
      <c r="AN157" s="3"/>
      <c r="AO157" s="3"/>
      <c r="AP157" s="3"/>
      <c r="AQ157" s="3"/>
      <c r="AR157" s="3"/>
    </row>
    <row r="158" spans="1:44" x14ac:dyDescent="0.3">
      <c r="A158" s="86">
        <v>3</v>
      </c>
      <c r="B158" s="86">
        <v>0.3</v>
      </c>
      <c r="C158" s="15">
        <v>10</v>
      </c>
      <c r="D158" s="15">
        <v>10</v>
      </c>
      <c r="E158" s="15">
        <f t="shared" si="46"/>
        <v>1</v>
      </c>
      <c r="F158" s="15">
        <f t="shared" si="47"/>
        <v>0.84845558577015145</v>
      </c>
      <c r="G158" s="42">
        <f t="shared" si="48"/>
        <v>-1.2080483808529943</v>
      </c>
      <c r="H158" s="15">
        <f t="shared" si="49"/>
        <v>-1.643375400854723</v>
      </c>
      <c r="I158" s="15"/>
      <c r="J158" s="15">
        <f t="shared" si="50"/>
        <v>0.87586224465405982</v>
      </c>
      <c r="K158" s="15">
        <f t="shared" si="51"/>
        <v>-1.3254645537272236</v>
      </c>
      <c r="L158" s="15"/>
      <c r="M158" s="15">
        <f t="shared" si="52"/>
        <v>0.90938336162822275</v>
      </c>
      <c r="N158" s="15">
        <f t="shared" si="53"/>
        <v>-0.94988533746919446</v>
      </c>
      <c r="O158" s="15"/>
      <c r="P158" s="15">
        <f t="shared" si="54"/>
        <v>0.87692014020189246</v>
      </c>
      <c r="Q158" s="15">
        <f t="shared" si="55"/>
        <v>-1.3133935095927329</v>
      </c>
      <c r="R158" s="3"/>
      <c r="AF158" s="5"/>
      <c r="AG158" s="3"/>
      <c r="AH158" s="3"/>
      <c r="AI158" s="3"/>
      <c r="AJ158" s="3"/>
      <c r="AM158" s="3"/>
      <c r="AN158" s="3"/>
      <c r="AO158" s="3"/>
      <c r="AP158" s="3"/>
      <c r="AQ158" s="3"/>
      <c r="AR158" s="3"/>
    </row>
    <row r="159" spans="1:44" x14ac:dyDescent="0.3">
      <c r="A159" s="86">
        <v>3</v>
      </c>
      <c r="B159" s="86">
        <v>0.3</v>
      </c>
      <c r="C159" s="15">
        <v>8</v>
      </c>
      <c r="D159" s="15">
        <v>10</v>
      </c>
      <c r="E159" s="15">
        <f t="shared" si="46"/>
        <v>0.8</v>
      </c>
      <c r="F159" s="15">
        <f t="shared" si="47"/>
        <v>0.84845558577015145</v>
      </c>
      <c r="G159" s="42">
        <f t="shared" si="48"/>
        <v>-0.30916119232860295</v>
      </c>
      <c r="H159" s="15">
        <f t="shared" si="49"/>
        <v>-8.4429152828566612E-2</v>
      </c>
      <c r="I159" s="15"/>
      <c r="J159" s="15">
        <f t="shared" si="50"/>
        <v>0.87586224465405982</v>
      </c>
      <c r="K159" s="15">
        <f t="shared" si="51"/>
        <v>-0.22907420718835325</v>
      </c>
      <c r="L159" s="15"/>
      <c r="M159" s="15">
        <f t="shared" si="52"/>
        <v>0.90938336162822275</v>
      </c>
      <c r="N159" s="15">
        <f t="shared" si="53"/>
        <v>-0.5581189072065722</v>
      </c>
      <c r="O159" s="15"/>
      <c r="P159" s="15">
        <f t="shared" si="54"/>
        <v>0.87692014020189246</v>
      </c>
      <c r="Q159" s="15">
        <f t="shared" si="55"/>
        <v>-0.2365343075739943</v>
      </c>
      <c r="R159" s="3"/>
      <c r="AF159" s="5"/>
      <c r="AG159" s="3"/>
      <c r="AH159" s="3"/>
      <c r="AI159" s="3"/>
      <c r="AJ159" s="3"/>
      <c r="AM159" s="3"/>
      <c r="AN159" s="3"/>
      <c r="AO159" s="3"/>
      <c r="AP159" s="3"/>
      <c r="AQ159" s="3"/>
      <c r="AR159" s="3"/>
    </row>
    <row r="160" spans="1:44" x14ac:dyDescent="0.3">
      <c r="A160" s="86">
        <v>0.125</v>
      </c>
      <c r="B160" s="86">
        <v>3.7499999999999999E-2</v>
      </c>
      <c r="C160" s="15">
        <v>10</v>
      </c>
      <c r="D160" s="15">
        <v>10</v>
      </c>
      <c r="E160" s="15">
        <f t="shared" si="46"/>
        <v>1</v>
      </c>
      <c r="F160" s="15">
        <f t="shared" si="47"/>
        <v>0.96164220820020407</v>
      </c>
      <c r="G160" s="42">
        <f t="shared" si="48"/>
        <v>-1.2080483808529943</v>
      </c>
      <c r="H160" s="15">
        <f t="shared" si="49"/>
        <v>-0.39112822445480799</v>
      </c>
      <c r="I160" s="15"/>
      <c r="J160" s="15">
        <f t="shared" si="50"/>
        <v>0.96169526673422867</v>
      </c>
      <c r="K160" s="15">
        <f t="shared" si="51"/>
        <v>-0.39057649045357801</v>
      </c>
      <c r="L160" s="15"/>
      <c r="M160" s="15">
        <f t="shared" si="52"/>
        <v>0.95980738736900206</v>
      </c>
      <c r="N160" s="15">
        <f t="shared" si="53"/>
        <v>-0.41022652808072407</v>
      </c>
      <c r="O160" s="15"/>
      <c r="P160" s="15">
        <f t="shared" si="54"/>
        <v>0.96160894715901257</v>
      </c>
      <c r="Q160" s="15">
        <f t="shared" si="55"/>
        <v>-0.39147410794591764</v>
      </c>
      <c r="R160" s="3"/>
      <c r="AF160" s="5"/>
      <c r="AG160" s="3"/>
      <c r="AH160" s="3"/>
      <c r="AI160" s="3"/>
      <c r="AJ160" s="3"/>
      <c r="AM160" s="3"/>
      <c r="AN160" s="3"/>
      <c r="AO160" s="3"/>
      <c r="AP160" s="3"/>
      <c r="AQ160" s="3"/>
      <c r="AR160" s="3"/>
    </row>
    <row r="161" spans="1:44" x14ac:dyDescent="0.3">
      <c r="A161" s="86">
        <v>0.125</v>
      </c>
      <c r="B161" s="86">
        <v>3.7499999999999999E-2</v>
      </c>
      <c r="C161" s="15">
        <v>10</v>
      </c>
      <c r="D161" s="15">
        <v>10</v>
      </c>
      <c r="E161" s="15">
        <f t="shared" si="46"/>
        <v>1</v>
      </c>
      <c r="F161" s="15">
        <f t="shared" si="47"/>
        <v>0.96164220820020407</v>
      </c>
      <c r="G161" s="42">
        <f t="shared" si="48"/>
        <v>-1.2080483808529943</v>
      </c>
      <c r="H161" s="15">
        <f t="shared" si="49"/>
        <v>-0.39112822445480799</v>
      </c>
      <c r="I161" s="15"/>
      <c r="J161" s="15">
        <f t="shared" si="50"/>
        <v>0.96169526673422867</v>
      </c>
      <c r="K161" s="15">
        <f t="shared" si="51"/>
        <v>-0.39057649045357801</v>
      </c>
      <c r="L161" s="15"/>
      <c r="M161" s="15">
        <f t="shared" si="52"/>
        <v>0.95980738736900206</v>
      </c>
      <c r="N161" s="15">
        <f t="shared" si="53"/>
        <v>-0.41022652808072407</v>
      </c>
      <c r="O161" s="15"/>
      <c r="P161" s="15">
        <f t="shared" si="54"/>
        <v>0.96160894715901257</v>
      </c>
      <c r="Q161" s="15">
        <f t="shared" si="55"/>
        <v>-0.39147410794591764</v>
      </c>
      <c r="R161" s="3"/>
      <c r="AF161" s="5"/>
      <c r="AG161" s="3"/>
      <c r="AH161" s="3"/>
      <c r="AI161" s="3"/>
      <c r="AJ161" s="3"/>
      <c r="AM161" s="3"/>
      <c r="AN161" s="3"/>
      <c r="AO161" s="3"/>
      <c r="AP161" s="3"/>
      <c r="AQ161" s="3"/>
      <c r="AR161" s="3"/>
    </row>
    <row r="162" spans="1:44" x14ac:dyDescent="0.3">
      <c r="A162" s="86">
        <v>0.125</v>
      </c>
      <c r="B162" s="86">
        <v>3.7499999999999999E-2</v>
      </c>
      <c r="C162" s="15">
        <v>10</v>
      </c>
      <c r="D162" s="15">
        <v>10</v>
      </c>
      <c r="E162" s="15">
        <f t="shared" si="46"/>
        <v>1</v>
      </c>
      <c r="F162" s="15">
        <f t="shared" si="47"/>
        <v>0.96164220820020407</v>
      </c>
      <c r="G162" s="42">
        <f t="shared" si="48"/>
        <v>-1.2080483808529943</v>
      </c>
      <c r="H162" s="15">
        <f t="shared" si="49"/>
        <v>-0.39112822445480799</v>
      </c>
      <c r="I162" s="15"/>
      <c r="J162" s="15">
        <f t="shared" si="50"/>
        <v>0.96169526673422867</v>
      </c>
      <c r="K162" s="15">
        <f t="shared" si="51"/>
        <v>-0.39057649045357801</v>
      </c>
      <c r="L162" s="15"/>
      <c r="M162" s="15">
        <f t="shared" si="52"/>
        <v>0.95980738736900206</v>
      </c>
      <c r="N162" s="15">
        <f t="shared" si="53"/>
        <v>-0.41022652808072407</v>
      </c>
      <c r="O162" s="15"/>
      <c r="P162" s="15">
        <f t="shared" si="54"/>
        <v>0.96160894715901257</v>
      </c>
      <c r="Q162" s="15">
        <f t="shared" si="55"/>
        <v>-0.39147410794591764</v>
      </c>
      <c r="R162" s="3"/>
      <c r="AF162" s="5"/>
      <c r="AG162" s="3"/>
      <c r="AH162" s="3"/>
      <c r="AI162" s="3"/>
      <c r="AJ162" s="3"/>
      <c r="AM162" s="3"/>
      <c r="AN162" s="3"/>
      <c r="AO162" s="3"/>
      <c r="AP162" s="3"/>
      <c r="AQ162" s="3"/>
      <c r="AR162" s="3"/>
    </row>
    <row r="163" spans="1:44" x14ac:dyDescent="0.3">
      <c r="A163" s="86">
        <v>0.125</v>
      </c>
      <c r="B163" s="86">
        <v>3.7499999999999999E-2</v>
      </c>
      <c r="C163" s="15">
        <v>10</v>
      </c>
      <c r="D163" s="15">
        <v>10</v>
      </c>
      <c r="E163" s="15">
        <f t="shared" si="46"/>
        <v>1</v>
      </c>
      <c r="F163" s="15">
        <f t="shared" si="47"/>
        <v>0.96164220820020407</v>
      </c>
      <c r="G163" s="42">
        <f t="shared" si="48"/>
        <v>-1.2080483808529943</v>
      </c>
      <c r="H163" s="15">
        <f t="shared" si="49"/>
        <v>-0.39112822445480799</v>
      </c>
      <c r="I163" s="15"/>
      <c r="J163" s="15">
        <f t="shared" si="50"/>
        <v>0.96169526673422867</v>
      </c>
      <c r="K163" s="15">
        <f t="shared" si="51"/>
        <v>-0.39057649045357801</v>
      </c>
      <c r="L163" s="15"/>
      <c r="M163" s="15">
        <f t="shared" si="52"/>
        <v>0.95980738736900206</v>
      </c>
      <c r="N163" s="15">
        <f t="shared" si="53"/>
        <v>-0.41022652808072407</v>
      </c>
      <c r="O163" s="15"/>
      <c r="P163" s="15">
        <f t="shared" si="54"/>
        <v>0.96160894715901257</v>
      </c>
      <c r="Q163" s="15">
        <f t="shared" si="55"/>
        <v>-0.39147410794591764</v>
      </c>
      <c r="R163" s="3"/>
      <c r="AF163" s="5"/>
      <c r="AG163" s="3"/>
      <c r="AH163" s="3"/>
      <c r="AI163" s="3"/>
      <c r="AJ163" s="3"/>
      <c r="AM163" s="3"/>
      <c r="AN163" s="3"/>
      <c r="AO163" s="3"/>
      <c r="AP163" s="3"/>
      <c r="AQ163" s="3"/>
      <c r="AR163" s="3"/>
    </row>
    <row r="164" spans="1:44" x14ac:dyDescent="0.3">
      <c r="A164" s="86">
        <v>0.125</v>
      </c>
      <c r="B164" s="86">
        <v>3.7499999999999999E-2</v>
      </c>
      <c r="C164" s="15">
        <v>10</v>
      </c>
      <c r="D164" s="15">
        <v>10</v>
      </c>
      <c r="E164" s="15">
        <f t="shared" si="46"/>
        <v>1</v>
      </c>
      <c r="F164" s="15">
        <f t="shared" si="47"/>
        <v>0.96164220820020407</v>
      </c>
      <c r="G164" s="42">
        <f t="shared" si="48"/>
        <v>-1.2080483808529943</v>
      </c>
      <c r="H164" s="15">
        <f t="shared" si="49"/>
        <v>-0.39112822445480799</v>
      </c>
      <c r="I164" s="15"/>
      <c r="J164" s="15">
        <f t="shared" si="50"/>
        <v>0.96169526673422867</v>
      </c>
      <c r="K164" s="15">
        <f t="shared" si="51"/>
        <v>-0.39057649045357801</v>
      </c>
      <c r="L164" s="15"/>
      <c r="M164" s="15">
        <f t="shared" si="52"/>
        <v>0.95980738736900206</v>
      </c>
      <c r="N164" s="15">
        <f t="shared" si="53"/>
        <v>-0.41022652808072407</v>
      </c>
      <c r="O164" s="15"/>
      <c r="P164" s="15">
        <f t="shared" si="54"/>
        <v>0.96160894715901257</v>
      </c>
      <c r="Q164" s="15">
        <f t="shared" si="55"/>
        <v>-0.39147410794591764</v>
      </c>
      <c r="R164" s="3"/>
      <c r="AF164" s="5"/>
      <c r="AG164" s="3"/>
      <c r="AH164" s="3"/>
      <c r="AI164" s="3"/>
      <c r="AJ164" s="3"/>
      <c r="AM164" s="3"/>
      <c r="AN164" s="3"/>
      <c r="AO164" s="3"/>
      <c r="AP164" s="3"/>
      <c r="AQ164" s="3"/>
      <c r="AR164" s="3"/>
    </row>
    <row r="165" spans="1:44" x14ac:dyDescent="0.3">
      <c r="A165" s="86">
        <v>0.25</v>
      </c>
      <c r="B165" s="86">
        <v>7.4999999999999997E-2</v>
      </c>
      <c r="C165" s="15">
        <v>10</v>
      </c>
      <c r="D165" s="15">
        <v>10</v>
      </c>
      <c r="E165" s="15">
        <f t="shared" si="46"/>
        <v>1</v>
      </c>
      <c r="F165" s="15">
        <f t="shared" si="47"/>
        <v>0.9563361115054092</v>
      </c>
      <c r="G165" s="42">
        <f t="shared" si="48"/>
        <v>-1.2080483808529943</v>
      </c>
      <c r="H165" s="15">
        <f t="shared" si="49"/>
        <v>-0.44645846648274895</v>
      </c>
      <c r="I165" s="15"/>
      <c r="J165" s="15">
        <f t="shared" si="50"/>
        <v>0.95589054902535509</v>
      </c>
      <c r="K165" s="15">
        <f t="shared" si="51"/>
        <v>-0.45111860952242389</v>
      </c>
      <c r="L165" s="15"/>
      <c r="M165" s="15">
        <f t="shared" si="52"/>
        <v>0.95290764562192543</v>
      </c>
      <c r="N165" s="15">
        <f t="shared" si="53"/>
        <v>-0.48237289129985117</v>
      </c>
      <c r="O165" s="15"/>
      <c r="P165" s="15">
        <f t="shared" si="54"/>
        <v>0.95586035323810314</v>
      </c>
      <c r="Q165" s="15">
        <f t="shared" si="55"/>
        <v>-0.4514345061930487</v>
      </c>
      <c r="R165" s="3"/>
    </row>
    <row r="166" spans="1:44" x14ac:dyDescent="0.3">
      <c r="A166" s="86">
        <v>0.25</v>
      </c>
      <c r="B166" s="86">
        <v>7.4999999999999997E-2</v>
      </c>
      <c r="C166" s="15">
        <v>10</v>
      </c>
      <c r="D166" s="15">
        <v>10</v>
      </c>
      <c r="E166" s="15">
        <f t="shared" si="46"/>
        <v>1</v>
      </c>
      <c r="F166" s="15">
        <f t="shared" si="47"/>
        <v>0.9563361115054092</v>
      </c>
      <c r="G166" s="42">
        <f t="shared" si="48"/>
        <v>-1.2080483808529943</v>
      </c>
      <c r="H166" s="15">
        <f t="shared" si="49"/>
        <v>-0.44645846648274895</v>
      </c>
      <c r="I166" s="15"/>
      <c r="J166" s="15">
        <f t="shared" si="50"/>
        <v>0.95589054902535509</v>
      </c>
      <c r="K166" s="15">
        <f t="shared" si="51"/>
        <v>-0.45111860952242389</v>
      </c>
      <c r="L166" s="15"/>
      <c r="M166" s="15">
        <f t="shared" si="52"/>
        <v>0.95290764562192543</v>
      </c>
      <c r="N166" s="15">
        <f t="shared" si="53"/>
        <v>-0.48237289129985117</v>
      </c>
      <c r="O166" s="15"/>
      <c r="P166" s="15">
        <f t="shared" si="54"/>
        <v>0.95586035323810314</v>
      </c>
      <c r="Q166" s="15">
        <f t="shared" si="55"/>
        <v>-0.4514345061930487</v>
      </c>
      <c r="R166" s="3"/>
    </row>
    <row r="167" spans="1:44" x14ac:dyDescent="0.3">
      <c r="A167" s="86">
        <v>0.25</v>
      </c>
      <c r="B167" s="86">
        <v>7.4999999999999997E-2</v>
      </c>
      <c r="C167" s="15">
        <v>10</v>
      </c>
      <c r="D167" s="15">
        <v>10</v>
      </c>
      <c r="E167" s="15">
        <f t="shared" si="46"/>
        <v>1</v>
      </c>
      <c r="F167" s="15">
        <f t="shared" si="47"/>
        <v>0.9563361115054092</v>
      </c>
      <c r="G167" s="42">
        <f t="shared" si="48"/>
        <v>-1.2080483808529943</v>
      </c>
      <c r="H167" s="15">
        <f t="shared" si="49"/>
        <v>-0.44645846648274895</v>
      </c>
      <c r="I167" s="15"/>
      <c r="J167" s="15">
        <f t="shared" si="50"/>
        <v>0.95589054902535509</v>
      </c>
      <c r="K167" s="15">
        <f t="shared" si="51"/>
        <v>-0.45111860952242389</v>
      </c>
      <c r="L167" s="15"/>
      <c r="M167" s="15">
        <f t="shared" si="52"/>
        <v>0.95290764562192543</v>
      </c>
      <c r="N167" s="15">
        <f t="shared" si="53"/>
        <v>-0.48237289129985117</v>
      </c>
      <c r="O167" s="15"/>
      <c r="P167" s="15">
        <f t="shared" si="54"/>
        <v>0.95586035323810314</v>
      </c>
      <c r="Q167" s="15">
        <f t="shared" si="55"/>
        <v>-0.4514345061930487</v>
      </c>
      <c r="R167" s="3"/>
    </row>
    <row r="168" spans="1:44" x14ac:dyDescent="0.3">
      <c r="A168" s="86">
        <v>0.25</v>
      </c>
      <c r="B168" s="86">
        <v>7.4999999999999997E-2</v>
      </c>
      <c r="C168" s="15">
        <v>9</v>
      </c>
      <c r="D168" s="15">
        <v>10</v>
      </c>
      <c r="E168" s="15">
        <f t="shared" si="46"/>
        <v>0.9</v>
      </c>
      <c r="F168" s="15">
        <f t="shared" si="47"/>
        <v>0.9563361115054092</v>
      </c>
      <c r="G168" s="42">
        <f t="shared" si="48"/>
        <v>-9.7871703672560983E-3</v>
      </c>
      <c r="H168" s="15">
        <f t="shared" si="49"/>
        <v>-0.28221675465434737</v>
      </c>
      <c r="I168" s="15"/>
      <c r="J168" s="15">
        <f t="shared" si="50"/>
        <v>0.95589054902535509</v>
      </c>
      <c r="K168" s="15">
        <f t="shared" si="51"/>
        <v>-0.27625822633059816</v>
      </c>
      <c r="L168" s="15"/>
      <c r="M168" s="15">
        <f t="shared" si="52"/>
        <v>0.95290764562192543</v>
      </c>
      <c r="N168" s="15">
        <f t="shared" si="53"/>
        <v>-0.23895048682108633</v>
      </c>
      <c r="O168" s="15"/>
      <c r="P168" s="15">
        <f t="shared" si="54"/>
        <v>0.95586035323810314</v>
      </c>
      <c r="Q168" s="15">
        <f t="shared" si="55"/>
        <v>-0.27585820252047788</v>
      </c>
      <c r="R168" s="3"/>
    </row>
    <row r="169" spans="1:44" x14ac:dyDescent="0.3">
      <c r="A169" s="86">
        <v>0.25</v>
      </c>
      <c r="B169" s="86">
        <v>7.4999999999999997E-2</v>
      </c>
      <c r="C169" s="15">
        <v>9</v>
      </c>
      <c r="D169" s="15">
        <v>10</v>
      </c>
      <c r="E169" s="15">
        <f t="shared" si="46"/>
        <v>0.9</v>
      </c>
      <c r="F169" s="15">
        <f t="shared" si="47"/>
        <v>0.9563361115054092</v>
      </c>
      <c r="G169" s="42">
        <f t="shared" si="48"/>
        <v>-9.7871703672560983E-3</v>
      </c>
      <c r="H169" s="15">
        <f t="shared" si="49"/>
        <v>-0.28221675465434737</v>
      </c>
      <c r="I169" s="15"/>
      <c r="J169" s="15">
        <f t="shared" si="50"/>
        <v>0.95589054902535509</v>
      </c>
      <c r="K169" s="15">
        <f t="shared" si="51"/>
        <v>-0.27625822633059816</v>
      </c>
      <c r="L169" s="15"/>
      <c r="M169" s="15">
        <f t="shared" si="52"/>
        <v>0.95290764562192543</v>
      </c>
      <c r="N169" s="15">
        <f t="shared" si="53"/>
        <v>-0.23895048682108633</v>
      </c>
      <c r="O169" s="15"/>
      <c r="P169" s="15">
        <f t="shared" si="54"/>
        <v>0.95586035323810314</v>
      </c>
      <c r="Q169" s="15">
        <f t="shared" si="55"/>
        <v>-0.27585820252047788</v>
      </c>
      <c r="R169" s="3"/>
    </row>
    <row r="170" spans="1:44" x14ac:dyDescent="0.3">
      <c r="A170" s="86">
        <v>0.5</v>
      </c>
      <c r="B170" s="86">
        <v>0.15</v>
      </c>
      <c r="C170" s="15">
        <v>10</v>
      </c>
      <c r="D170" s="15">
        <v>10</v>
      </c>
      <c r="E170" s="15">
        <f t="shared" si="46"/>
        <v>1</v>
      </c>
      <c r="F170" s="15">
        <f t="shared" si="47"/>
        <v>0.94059046740373708</v>
      </c>
      <c r="G170" s="42">
        <f t="shared" si="48"/>
        <v>-1.2080483808529943</v>
      </c>
      <c r="H170" s="15">
        <f t="shared" si="49"/>
        <v>-0.61247444113511074</v>
      </c>
      <c r="I170" s="15"/>
      <c r="J170" s="15">
        <f t="shared" si="50"/>
        <v>0.94008459808195255</v>
      </c>
      <c r="K170" s="15">
        <f t="shared" si="51"/>
        <v>-0.61785409808136871</v>
      </c>
      <c r="L170" s="15"/>
      <c r="M170" s="15">
        <f t="shared" si="52"/>
        <v>0.93492316158127253</v>
      </c>
      <c r="N170" s="15">
        <f t="shared" si="53"/>
        <v>-0.67290933197402958</v>
      </c>
      <c r="O170" s="15"/>
      <c r="P170" s="15">
        <f t="shared" si="54"/>
        <v>0.94025769949105498</v>
      </c>
      <c r="Q170" s="15">
        <f t="shared" si="55"/>
        <v>-0.61601292895152626</v>
      </c>
      <c r="R170" s="3"/>
    </row>
    <row r="171" spans="1:44" x14ac:dyDescent="0.3">
      <c r="A171" s="86">
        <v>0.5</v>
      </c>
      <c r="B171" s="86">
        <v>0.15</v>
      </c>
      <c r="C171" s="15">
        <v>8</v>
      </c>
      <c r="D171" s="15">
        <v>10</v>
      </c>
      <c r="E171" s="15">
        <f t="shared" si="46"/>
        <v>0.8</v>
      </c>
      <c r="F171" s="15">
        <f t="shared" si="47"/>
        <v>0.94059046740373708</v>
      </c>
      <c r="G171" s="42">
        <f t="shared" si="48"/>
        <v>-0.30916119232860295</v>
      </c>
      <c r="H171" s="15">
        <f t="shared" si="49"/>
        <v>-1.1325564856676815</v>
      </c>
      <c r="I171" s="15"/>
      <c r="J171" s="15">
        <f t="shared" si="50"/>
        <v>0.94008459808195255</v>
      </c>
      <c r="K171" s="15">
        <f t="shared" si="51"/>
        <v>-1.1199024025488915</v>
      </c>
      <c r="L171" s="15"/>
      <c r="M171" s="15">
        <f t="shared" si="52"/>
        <v>0.93492316158127253</v>
      </c>
      <c r="N171" s="15">
        <f t="shared" si="53"/>
        <v>-0.99867638566245565</v>
      </c>
      <c r="O171" s="15"/>
      <c r="P171" s="15">
        <f t="shared" si="54"/>
        <v>0.94025769949105498</v>
      </c>
      <c r="Q171" s="15">
        <f t="shared" si="55"/>
        <v>-1.124216024277118</v>
      </c>
      <c r="R171" s="3"/>
    </row>
    <row r="172" spans="1:44" x14ac:dyDescent="0.3">
      <c r="A172" s="86">
        <v>0.5</v>
      </c>
      <c r="B172" s="86">
        <v>0.15</v>
      </c>
      <c r="C172" s="15">
        <v>8</v>
      </c>
      <c r="D172" s="15">
        <v>10</v>
      </c>
      <c r="E172" s="15">
        <f t="shared" si="46"/>
        <v>0.8</v>
      </c>
      <c r="F172" s="15">
        <f t="shared" si="47"/>
        <v>0.94059046740373708</v>
      </c>
      <c r="G172" s="42">
        <f t="shared" si="48"/>
        <v>-0.30916119232860295</v>
      </c>
      <c r="H172" s="15">
        <f t="shared" si="49"/>
        <v>-1.1325564856676815</v>
      </c>
      <c r="I172" s="15"/>
      <c r="J172" s="15">
        <f t="shared" si="50"/>
        <v>0.94008459808195255</v>
      </c>
      <c r="K172" s="15">
        <f t="shared" si="51"/>
        <v>-1.1199024025488915</v>
      </c>
      <c r="L172" s="15"/>
      <c r="M172" s="15">
        <f t="shared" si="52"/>
        <v>0.93492316158127253</v>
      </c>
      <c r="N172" s="15">
        <f t="shared" si="53"/>
        <v>-0.99867638566245565</v>
      </c>
      <c r="O172" s="15"/>
      <c r="P172" s="15">
        <f t="shared" si="54"/>
        <v>0.94025769949105498</v>
      </c>
      <c r="Q172" s="15">
        <f t="shared" si="55"/>
        <v>-1.124216024277118</v>
      </c>
      <c r="R172" s="3"/>
    </row>
    <row r="173" spans="1:44" x14ac:dyDescent="0.3">
      <c r="A173" s="86">
        <v>0.5</v>
      </c>
      <c r="B173" s="86">
        <v>0.15</v>
      </c>
      <c r="C173" s="15">
        <v>10</v>
      </c>
      <c r="D173" s="15">
        <v>10</v>
      </c>
      <c r="E173" s="15">
        <f t="shared" si="46"/>
        <v>1</v>
      </c>
      <c r="F173" s="15">
        <f t="shared" si="47"/>
        <v>0.94059046740373708</v>
      </c>
      <c r="G173" s="42">
        <f t="shared" si="48"/>
        <v>-1.2080483808529943</v>
      </c>
      <c r="H173" s="15">
        <f t="shared" si="49"/>
        <v>-0.61247444113511074</v>
      </c>
      <c r="I173" s="15"/>
      <c r="J173" s="15">
        <f t="shared" si="50"/>
        <v>0.94008459808195255</v>
      </c>
      <c r="K173" s="15">
        <f t="shared" si="51"/>
        <v>-0.61785409808136871</v>
      </c>
      <c r="L173" s="15"/>
      <c r="M173" s="15">
        <f t="shared" si="52"/>
        <v>0.93492316158127253</v>
      </c>
      <c r="N173" s="15">
        <f t="shared" si="53"/>
        <v>-0.67290933197402958</v>
      </c>
      <c r="O173" s="15"/>
      <c r="P173" s="15">
        <f t="shared" si="54"/>
        <v>0.94025769949105498</v>
      </c>
      <c r="Q173" s="15">
        <f t="shared" si="55"/>
        <v>-0.61601292895152626</v>
      </c>
      <c r="R173" s="3"/>
    </row>
    <row r="174" spans="1:44" x14ac:dyDescent="0.3">
      <c r="A174" s="86">
        <v>0.5</v>
      </c>
      <c r="B174" s="86">
        <v>0.15</v>
      </c>
      <c r="C174" s="15">
        <v>10</v>
      </c>
      <c r="D174" s="15">
        <v>10</v>
      </c>
      <c r="E174" s="15">
        <f t="shared" si="46"/>
        <v>1</v>
      </c>
      <c r="F174" s="15">
        <f t="shared" si="47"/>
        <v>0.94059046740373708</v>
      </c>
      <c r="G174" s="42">
        <f t="shared" si="48"/>
        <v>-1.2080483808529943</v>
      </c>
      <c r="H174" s="15">
        <f t="shared" si="49"/>
        <v>-0.61247444113511074</v>
      </c>
      <c r="I174" s="15"/>
      <c r="J174" s="15">
        <f t="shared" si="50"/>
        <v>0.94008459808195255</v>
      </c>
      <c r="K174" s="15">
        <f t="shared" si="51"/>
        <v>-0.61785409808136871</v>
      </c>
      <c r="L174" s="15"/>
      <c r="M174" s="15">
        <f t="shared" si="52"/>
        <v>0.93492316158127253</v>
      </c>
      <c r="N174" s="15">
        <f t="shared" si="53"/>
        <v>-0.67290933197402958</v>
      </c>
      <c r="O174" s="15"/>
      <c r="P174" s="15">
        <f t="shared" si="54"/>
        <v>0.94025769949105498</v>
      </c>
      <c r="Q174" s="15">
        <f t="shared" si="55"/>
        <v>-0.61601292895152626</v>
      </c>
      <c r="R174" s="3"/>
    </row>
    <row r="175" spans="1:44" x14ac:dyDescent="0.3">
      <c r="A175" s="86">
        <v>1</v>
      </c>
      <c r="B175" s="86">
        <v>0.3</v>
      </c>
      <c r="C175" s="15">
        <v>10</v>
      </c>
      <c r="D175" s="15">
        <v>10</v>
      </c>
      <c r="E175" s="15">
        <f t="shared" si="46"/>
        <v>1</v>
      </c>
      <c r="F175" s="15">
        <f t="shared" si="47"/>
        <v>0.88497476362604788</v>
      </c>
      <c r="G175" s="42">
        <f t="shared" si="48"/>
        <v>-1.2080483808529943</v>
      </c>
      <c r="H175" s="15">
        <f t="shared" si="49"/>
        <v>-1.2219615005756923</v>
      </c>
      <c r="I175" s="15"/>
      <c r="J175" s="15">
        <f t="shared" si="50"/>
        <v>0.88872607010140992</v>
      </c>
      <c r="K175" s="15">
        <f t="shared" si="51"/>
        <v>-1.1796622357017865</v>
      </c>
      <c r="L175" s="15"/>
      <c r="M175" s="15">
        <f t="shared" si="52"/>
        <v>0.87782863309837755</v>
      </c>
      <c r="N175" s="15">
        <f t="shared" si="53"/>
        <v>-1.3030388310030474</v>
      </c>
      <c r="O175" s="15"/>
      <c r="P175" s="15">
        <f t="shared" si="54"/>
        <v>0.88930023940900149</v>
      </c>
      <c r="Q175" s="15">
        <f t="shared" si="55"/>
        <v>-1.1732037336596215</v>
      </c>
      <c r="R175" s="3"/>
    </row>
    <row r="176" spans="1:44" x14ac:dyDescent="0.3">
      <c r="A176" s="86">
        <v>1</v>
      </c>
      <c r="B176" s="86">
        <v>0.3</v>
      </c>
      <c r="C176" s="15">
        <v>9</v>
      </c>
      <c r="D176" s="15">
        <v>10</v>
      </c>
      <c r="E176" s="15">
        <f t="shared" si="46"/>
        <v>0.9</v>
      </c>
      <c r="F176" s="15">
        <f t="shared" si="47"/>
        <v>0.88497476362604788</v>
      </c>
      <c r="G176" s="42">
        <f t="shared" si="48"/>
        <v>-9.7871703672560983E-3</v>
      </c>
      <c r="H176" s="15">
        <f t="shared" si="49"/>
        <v>-1.1539344567420701E-2</v>
      </c>
      <c r="I176" s="15"/>
      <c r="J176" s="15">
        <f t="shared" si="50"/>
        <v>0.88872607010140992</v>
      </c>
      <c r="K176" s="15">
        <f t="shared" si="51"/>
        <v>-6.6265590716013956E-3</v>
      </c>
      <c r="L176" s="15"/>
      <c r="M176" s="15">
        <f t="shared" si="52"/>
        <v>0.87782863309837755</v>
      </c>
      <c r="N176" s="15">
        <f t="shared" si="53"/>
        <v>-2.4235787095922473E-2</v>
      </c>
      <c r="O176" s="15"/>
      <c r="P176" s="15">
        <f t="shared" si="54"/>
        <v>0.88930023940900149</v>
      </c>
      <c r="Q176" s="15">
        <f t="shared" si="55"/>
        <v>-5.9872283320017011E-3</v>
      </c>
      <c r="R176" s="3"/>
    </row>
    <row r="177" spans="1:18" x14ac:dyDescent="0.3">
      <c r="A177" s="86">
        <v>1</v>
      </c>
      <c r="B177" s="86">
        <v>0.3</v>
      </c>
      <c r="C177" s="15">
        <v>6</v>
      </c>
      <c r="D177" s="15">
        <v>10</v>
      </c>
      <c r="E177" s="15">
        <f t="shared" si="46"/>
        <v>0.6</v>
      </c>
      <c r="F177" s="15">
        <f t="shared" si="47"/>
        <v>0.88497476362604788</v>
      </c>
      <c r="G177" s="42">
        <f t="shared" si="48"/>
        <v>-2.6882058044754054</v>
      </c>
      <c r="H177" s="15">
        <f t="shared" si="49"/>
        <v>-2.6534751421079719</v>
      </c>
      <c r="I177" s="15"/>
      <c r="J177" s="15">
        <f t="shared" si="50"/>
        <v>0.88872607010140992</v>
      </c>
      <c r="K177" s="15">
        <f t="shared" si="51"/>
        <v>-2.7607217947464098</v>
      </c>
      <c r="L177" s="15"/>
      <c r="M177" s="15">
        <f t="shared" si="52"/>
        <v>0.87782863309837755</v>
      </c>
      <c r="N177" s="15">
        <f t="shared" si="53"/>
        <v>-2.4610289209399139</v>
      </c>
      <c r="O177" s="15"/>
      <c r="P177" s="15">
        <f t="shared" si="54"/>
        <v>0.88930023940900149</v>
      </c>
      <c r="Q177" s="15">
        <f t="shared" si="55"/>
        <v>-2.7775399779145067</v>
      </c>
      <c r="R177" s="3"/>
    </row>
    <row r="178" spans="1:18" x14ac:dyDescent="0.3">
      <c r="A178" s="86">
        <v>1</v>
      </c>
      <c r="B178" s="86">
        <v>0.3</v>
      </c>
      <c r="C178" s="15">
        <v>9</v>
      </c>
      <c r="D178" s="15">
        <v>10</v>
      </c>
      <c r="E178" s="15">
        <f t="shared" si="46"/>
        <v>0.9</v>
      </c>
      <c r="F178" s="15">
        <f t="shared" si="47"/>
        <v>0.88497476362604788</v>
      </c>
      <c r="G178" s="42">
        <f t="shared" si="48"/>
        <v>-9.7871703672560983E-3</v>
      </c>
      <c r="H178" s="15">
        <f t="shared" si="49"/>
        <v>-1.1539344567420701E-2</v>
      </c>
      <c r="I178" s="15"/>
      <c r="J178" s="15">
        <f t="shared" si="50"/>
        <v>0.88872607010140992</v>
      </c>
      <c r="K178" s="15">
        <f t="shared" si="51"/>
        <v>-6.6265590716013956E-3</v>
      </c>
      <c r="L178" s="15"/>
      <c r="M178" s="15">
        <f t="shared" si="52"/>
        <v>0.87782863309837755</v>
      </c>
      <c r="N178" s="15">
        <f t="shared" si="53"/>
        <v>-2.4235787095922473E-2</v>
      </c>
      <c r="O178" s="15"/>
      <c r="P178" s="15">
        <f t="shared" si="54"/>
        <v>0.88930023940900149</v>
      </c>
      <c r="Q178" s="15">
        <f t="shared" si="55"/>
        <v>-5.9872283320017011E-3</v>
      </c>
      <c r="R178" s="3"/>
    </row>
    <row r="179" spans="1:18" x14ac:dyDescent="0.3">
      <c r="A179" s="86">
        <v>1</v>
      </c>
      <c r="B179" s="86">
        <v>0.3</v>
      </c>
      <c r="C179" s="15">
        <v>8</v>
      </c>
      <c r="D179" s="15">
        <v>10</v>
      </c>
      <c r="E179" s="15">
        <f t="shared" si="46"/>
        <v>0.8</v>
      </c>
      <c r="F179" s="15">
        <f t="shared" si="47"/>
        <v>0.88497476362604788</v>
      </c>
      <c r="G179" s="42">
        <f t="shared" si="48"/>
        <v>-0.30916119232860295</v>
      </c>
      <c r="H179" s="15">
        <f t="shared" si="49"/>
        <v>-0.29875242100623578</v>
      </c>
      <c r="I179" s="15"/>
      <c r="J179" s="15">
        <f t="shared" si="50"/>
        <v>0.88872607010140992</v>
      </c>
      <c r="K179" s="15">
        <f t="shared" si="51"/>
        <v>-0.33122611488850218</v>
      </c>
      <c r="L179" s="15"/>
      <c r="M179" s="15">
        <f t="shared" si="52"/>
        <v>0.87782863309837755</v>
      </c>
      <c r="N179" s="15">
        <f t="shared" si="53"/>
        <v>-0.243067975635884</v>
      </c>
      <c r="O179" s="15"/>
      <c r="P179" s="15">
        <f t="shared" si="54"/>
        <v>0.88930023940900149</v>
      </c>
      <c r="Q179" s="15">
        <f t="shared" si="55"/>
        <v>-0.33640595545146756</v>
      </c>
      <c r="R179" s="3"/>
    </row>
    <row r="180" spans="1:18" x14ac:dyDescent="0.3">
      <c r="A180" s="86">
        <v>2</v>
      </c>
      <c r="B180" s="86">
        <v>0.6</v>
      </c>
      <c r="C180" s="15">
        <v>9</v>
      </c>
      <c r="D180" s="15">
        <v>10</v>
      </c>
      <c r="E180" s="15">
        <f t="shared" si="46"/>
        <v>0.9</v>
      </c>
      <c r="F180" s="15">
        <f t="shared" si="47"/>
        <v>0.69209142345457386</v>
      </c>
      <c r="G180" s="42">
        <f t="shared" si="48"/>
        <v>-9.7871703672560983E-3</v>
      </c>
      <c r="H180" s="15">
        <f t="shared" si="49"/>
        <v>-1.2394575910036314</v>
      </c>
      <c r="I180" s="15"/>
      <c r="J180" s="15">
        <f t="shared" si="50"/>
        <v>0.71725001957864443</v>
      </c>
      <c r="K180" s="15">
        <f t="shared" si="51"/>
        <v>-1.0033396707296713</v>
      </c>
      <c r="L180" s="15"/>
      <c r="M180" s="15">
        <f t="shared" si="52"/>
        <v>0.6874320124762221</v>
      </c>
      <c r="N180" s="15">
        <f t="shared" si="53"/>
        <v>-1.2852346469539455</v>
      </c>
      <c r="O180" s="15"/>
      <c r="P180" s="15">
        <f t="shared" si="54"/>
        <v>0.71534107248438716</v>
      </c>
      <c r="Q180" s="15">
        <f t="shared" si="55"/>
        <v>-1.0205962571999876</v>
      </c>
      <c r="R180" s="3"/>
    </row>
    <row r="181" spans="1:18" x14ac:dyDescent="0.3">
      <c r="A181" s="86">
        <v>2</v>
      </c>
      <c r="B181" s="86">
        <v>0.6</v>
      </c>
      <c r="C181" s="15">
        <v>10</v>
      </c>
      <c r="D181" s="15">
        <v>10</v>
      </c>
      <c r="E181" s="15">
        <f t="shared" si="46"/>
        <v>1</v>
      </c>
      <c r="F181" s="15">
        <f t="shared" si="47"/>
        <v>0.69209142345457386</v>
      </c>
      <c r="G181" s="42">
        <f t="shared" si="48"/>
        <v>-1.2080483808529943</v>
      </c>
      <c r="H181" s="15">
        <f t="shared" si="49"/>
        <v>-3.6803721727211318</v>
      </c>
      <c r="I181" s="15"/>
      <c r="J181" s="15">
        <f t="shared" si="50"/>
        <v>0.71725001957864443</v>
      </c>
      <c r="K181" s="15">
        <f t="shared" si="51"/>
        <v>-3.3233079682384288</v>
      </c>
      <c r="L181" s="15"/>
      <c r="M181" s="15">
        <f t="shared" si="52"/>
        <v>0.6874320124762221</v>
      </c>
      <c r="N181" s="15">
        <f t="shared" si="53"/>
        <v>-3.747923452751194</v>
      </c>
      <c r="O181" s="15"/>
      <c r="P181" s="15">
        <f t="shared" si="54"/>
        <v>0.71534107248438716</v>
      </c>
      <c r="Q181" s="15">
        <f t="shared" si="55"/>
        <v>-3.3499582557443603</v>
      </c>
      <c r="R181" s="3"/>
    </row>
    <row r="182" spans="1:18" x14ac:dyDescent="0.3">
      <c r="A182" s="86">
        <v>2</v>
      </c>
      <c r="B182" s="86">
        <v>0.6</v>
      </c>
      <c r="C182" s="15">
        <v>7</v>
      </c>
      <c r="D182" s="15">
        <v>10</v>
      </c>
      <c r="E182" s="15">
        <f t="shared" si="46"/>
        <v>0.7</v>
      </c>
      <c r="F182" s="15">
        <f t="shared" si="47"/>
        <v>0.69209142345457386</v>
      </c>
      <c r="G182" s="42">
        <f t="shared" si="48"/>
        <v>-1.2571109305902908</v>
      </c>
      <c r="H182" s="15">
        <f t="shared" si="49"/>
        <v>-1.4746087631424404E-3</v>
      </c>
      <c r="I182" s="15"/>
      <c r="J182" s="15">
        <f t="shared" si="50"/>
        <v>0.71725001957864443</v>
      </c>
      <c r="K182" s="15">
        <f t="shared" si="51"/>
        <v>-7.24925690666961E-3</v>
      </c>
      <c r="L182" s="15"/>
      <c r="M182" s="15">
        <f t="shared" si="52"/>
        <v>0.6874320124762221</v>
      </c>
      <c r="N182" s="15">
        <f t="shared" si="53"/>
        <v>-3.7032165539596651E-3</v>
      </c>
      <c r="O182" s="15"/>
      <c r="P182" s="15">
        <f t="shared" si="54"/>
        <v>0.71534107248438716</v>
      </c>
      <c r="Q182" s="15">
        <f t="shared" si="55"/>
        <v>-5.7184413057559946E-3</v>
      </c>
      <c r="R182" s="3"/>
    </row>
    <row r="183" spans="1:18" x14ac:dyDescent="0.3">
      <c r="A183" s="86">
        <v>2</v>
      </c>
      <c r="B183" s="86">
        <v>0.6</v>
      </c>
      <c r="C183" s="15">
        <v>6</v>
      </c>
      <c r="D183" s="15">
        <v>10</v>
      </c>
      <c r="E183" s="15">
        <f t="shared" si="46"/>
        <v>0.6</v>
      </c>
      <c r="F183" s="15">
        <f t="shared" si="47"/>
        <v>0.69209142345457386</v>
      </c>
      <c r="G183" s="42">
        <f t="shared" si="48"/>
        <v>-2.6882058044754054</v>
      </c>
      <c r="H183" s="15">
        <f t="shared" si="49"/>
        <v>-0.18991611141649489</v>
      </c>
      <c r="I183" s="15"/>
      <c r="J183" s="15">
        <f t="shared" si="50"/>
        <v>0.71725001957864443</v>
      </c>
      <c r="K183" s="15">
        <f t="shared" si="51"/>
        <v>-0.31663704376876423</v>
      </c>
      <c r="L183" s="15"/>
      <c r="M183" s="15">
        <f t="shared" si="52"/>
        <v>0.6874320124762221</v>
      </c>
      <c r="N183" s="15">
        <f t="shared" si="53"/>
        <v>-0.17037049512756386</v>
      </c>
      <c r="O183" s="15"/>
      <c r="P183" s="15">
        <f t="shared" si="54"/>
        <v>0.71534107248438716</v>
      </c>
      <c r="Q183" s="15">
        <f t="shared" si="55"/>
        <v>-0.3057125271322354</v>
      </c>
      <c r="R183" s="3"/>
    </row>
    <row r="184" spans="1:18" x14ac:dyDescent="0.3">
      <c r="A184" s="86">
        <v>2</v>
      </c>
      <c r="B184" s="86">
        <v>0.6</v>
      </c>
      <c r="C184" s="15">
        <v>9</v>
      </c>
      <c r="D184" s="15">
        <v>10</v>
      </c>
      <c r="E184" s="15">
        <f t="shared" si="46"/>
        <v>0.9</v>
      </c>
      <c r="F184" s="15">
        <f t="shared" si="47"/>
        <v>0.69209142345457386</v>
      </c>
      <c r="G184" s="42">
        <f t="shared" si="48"/>
        <v>-9.7871703672560983E-3</v>
      </c>
      <c r="H184" s="15">
        <f t="shared" si="49"/>
        <v>-1.2394575910036314</v>
      </c>
      <c r="I184" s="15"/>
      <c r="J184" s="15">
        <f t="shared" si="50"/>
        <v>0.71725001957864443</v>
      </c>
      <c r="K184" s="15">
        <f t="shared" si="51"/>
        <v>-1.0033396707296713</v>
      </c>
      <c r="L184" s="15"/>
      <c r="M184" s="15">
        <f t="shared" si="52"/>
        <v>0.6874320124762221</v>
      </c>
      <c r="N184" s="15">
        <f t="shared" si="53"/>
        <v>-1.2852346469539455</v>
      </c>
      <c r="O184" s="15"/>
      <c r="P184" s="15">
        <f t="shared" si="54"/>
        <v>0.71534107248438716</v>
      </c>
      <c r="Q184" s="15">
        <f t="shared" si="55"/>
        <v>-1.0205962571999876</v>
      </c>
      <c r="R184" s="3"/>
    </row>
    <row r="185" spans="1:18" x14ac:dyDescent="0.3">
      <c r="A185" s="86">
        <v>6.25E-2</v>
      </c>
      <c r="B185" s="86">
        <v>5.6250000000000001E-2</v>
      </c>
      <c r="C185" s="15">
        <v>8</v>
      </c>
      <c r="D185" s="15">
        <v>10</v>
      </c>
      <c r="E185" s="15">
        <f t="shared" si="46"/>
        <v>0.8</v>
      </c>
      <c r="F185" s="15">
        <f t="shared" si="47"/>
        <v>0.96238516358687831</v>
      </c>
      <c r="G185" s="42">
        <f t="shared" si="48"/>
        <v>-0.30916119232860295</v>
      </c>
      <c r="H185" s="15">
        <f t="shared" si="49"/>
        <v>-1.8634134505155555</v>
      </c>
      <c r="I185" s="15"/>
      <c r="J185" s="15">
        <f t="shared" si="50"/>
        <v>0.96237633445849169</v>
      </c>
      <c r="K185" s="15">
        <f t="shared" si="51"/>
        <v>-1.8630174504083079</v>
      </c>
      <c r="L185" s="15"/>
      <c r="M185" s="15">
        <f t="shared" si="52"/>
        <v>0.96120187299742454</v>
      </c>
      <c r="N185" s="15">
        <f t="shared" si="53"/>
        <v>-1.8113089900612414</v>
      </c>
      <c r="O185" s="15"/>
      <c r="P185" s="15">
        <f t="shared" si="54"/>
        <v>0.96226418210647302</v>
      </c>
      <c r="Q185" s="15">
        <f t="shared" si="55"/>
        <v>-1.8579968697873335</v>
      </c>
      <c r="R185" s="3"/>
    </row>
    <row r="186" spans="1:18" x14ac:dyDescent="0.3">
      <c r="A186" s="86">
        <v>6.25E-2</v>
      </c>
      <c r="B186" s="86">
        <v>5.6250000000000001E-2</v>
      </c>
      <c r="C186" s="15">
        <v>6</v>
      </c>
      <c r="D186" s="15">
        <v>10</v>
      </c>
      <c r="E186" s="15">
        <f t="shared" si="46"/>
        <v>0.6</v>
      </c>
      <c r="F186" s="15">
        <f t="shared" si="47"/>
        <v>0.96238516358687831</v>
      </c>
      <c r="G186" s="42">
        <f t="shared" si="48"/>
        <v>-2.6882058044754054</v>
      </c>
      <c r="H186" s="15">
        <f t="shared" si="49"/>
        <v>-6.6213533967287415</v>
      </c>
      <c r="I186" s="15"/>
      <c r="J186" s="15">
        <f t="shared" si="50"/>
        <v>0.96237633445849169</v>
      </c>
      <c r="K186" s="15">
        <f t="shared" si="51"/>
        <v>-6.620469653943589</v>
      </c>
      <c r="L186" s="15"/>
      <c r="M186" s="15">
        <f t="shared" si="52"/>
        <v>0.96120187299742454</v>
      </c>
      <c r="N186" s="15">
        <f t="shared" si="53"/>
        <v>-6.5048415156087582</v>
      </c>
      <c r="O186" s="15"/>
      <c r="P186" s="15">
        <f t="shared" si="54"/>
        <v>0.96226418210647302</v>
      </c>
      <c r="Q186" s="15">
        <f t="shared" si="55"/>
        <v>-6.6092630558194765</v>
      </c>
      <c r="R186" s="3"/>
    </row>
    <row r="187" spans="1:18" x14ac:dyDescent="0.3">
      <c r="A187" s="86">
        <v>6.25E-2</v>
      </c>
      <c r="B187" s="86">
        <v>5.6250000000000001E-2</v>
      </c>
      <c r="C187" s="15">
        <v>10</v>
      </c>
      <c r="D187" s="15">
        <v>10</v>
      </c>
      <c r="E187" s="15">
        <f t="shared" si="46"/>
        <v>1</v>
      </c>
      <c r="F187" s="15">
        <f t="shared" si="47"/>
        <v>0.96238516358687831</v>
      </c>
      <c r="G187" s="42">
        <f t="shared" si="48"/>
        <v>-1.2080483808529943</v>
      </c>
      <c r="H187" s="15">
        <f t="shared" si="49"/>
        <v>-0.38340530497356168</v>
      </c>
      <c r="I187" s="15"/>
      <c r="J187" s="15">
        <f t="shared" si="50"/>
        <v>0.96237633445849169</v>
      </c>
      <c r="K187" s="15">
        <f t="shared" si="51"/>
        <v>-0.38349704754421943</v>
      </c>
      <c r="L187" s="15"/>
      <c r="M187" s="15">
        <f t="shared" si="52"/>
        <v>0.96120187299742454</v>
      </c>
      <c r="N187" s="15">
        <f t="shared" si="53"/>
        <v>-0.39570826518491864</v>
      </c>
      <c r="O187" s="15"/>
      <c r="P187" s="15">
        <f t="shared" si="54"/>
        <v>0.96226418210647302</v>
      </c>
      <c r="Q187" s="15">
        <f t="shared" si="55"/>
        <v>-0.38466248442638351</v>
      </c>
      <c r="R187" s="3"/>
    </row>
    <row r="188" spans="1:18" x14ac:dyDescent="0.3">
      <c r="A188" s="86">
        <v>6.25E-2</v>
      </c>
      <c r="B188" s="86">
        <v>5.6250000000000001E-2</v>
      </c>
      <c r="C188" s="15">
        <v>10</v>
      </c>
      <c r="D188" s="15">
        <v>10</v>
      </c>
      <c r="E188" s="15">
        <f t="shared" si="46"/>
        <v>1</v>
      </c>
      <c r="F188" s="15">
        <f t="shared" si="47"/>
        <v>0.96238516358687831</v>
      </c>
      <c r="G188" s="42">
        <f t="shared" si="48"/>
        <v>-1.2080483808529943</v>
      </c>
      <c r="H188" s="15">
        <f t="shared" si="49"/>
        <v>-0.38340530497356168</v>
      </c>
      <c r="I188" s="15"/>
      <c r="J188" s="15">
        <f t="shared" si="50"/>
        <v>0.96237633445849169</v>
      </c>
      <c r="K188" s="15">
        <f t="shared" si="51"/>
        <v>-0.38349704754421943</v>
      </c>
      <c r="L188" s="15"/>
      <c r="M188" s="15">
        <f t="shared" si="52"/>
        <v>0.96120187299742454</v>
      </c>
      <c r="N188" s="15">
        <f t="shared" si="53"/>
        <v>-0.39570826518491864</v>
      </c>
      <c r="O188" s="15"/>
      <c r="P188" s="15">
        <f t="shared" si="54"/>
        <v>0.96226418210647302</v>
      </c>
      <c r="Q188" s="15">
        <f t="shared" si="55"/>
        <v>-0.38466248442638351</v>
      </c>
      <c r="R188" s="2"/>
    </row>
    <row r="189" spans="1:18" x14ac:dyDescent="0.3">
      <c r="A189" s="86">
        <v>6.25E-2</v>
      </c>
      <c r="B189" s="86">
        <v>5.6250000000000001E-2</v>
      </c>
      <c r="C189" s="15">
        <v>10</v>
      </c>
      <c r="D189" s="15">
        <v>10</v>
      </c>
      <c r="E189" s="15">
        <f t="shared" si="46"/>
        <v>1</v>
      </c>
      <c r="F189" s="15">
        <f t="shared" si="47"/>
        <v>0.96238516358687831</v>
      </c>
      <c r="G189" s="42">
        <f t="shared" si="48"/>
        <v>-1.2080483808529943</v>
      </c>
      <c r="H189" s="15">
        <f t="shared" si="49"/>
        <v>-0.38340530497356168</v>
      </c>
      <c r="I189" s="15"/>
      <c r="J189" s="15">
        <f t="shared" si="50"/>
        <v>0.96237633445849169</v>
      </c>
      <c r="K189" s="15">
        <f t="shared" si="51"/>
        <v>-0.38349704754421943</v>
      </c>
      <c r="L189" s="15"/>
      <c r="M189" s="15">
        <f t="shared" si="52"/>
        <v>0.96120187299742454</v>
      </c>
      <c r="N189" s="15">
        <f t="shared" si="53"/>
        <v>-0.39570826518491864</v>
      </c>
      <c r="O189" s="15"/>
      <c r="P189" s="15">
        <f t="shared" si="54"/>
        <v>0.96226418210647302</v>
      </c>
      <c r="Q189" s="15">
        <f t="shared" si="55"/>
        <v>-0.38466248442638351</v>
      </c>
      <c r="R189" s="1"/>
    </row>
    <row r="190" spans="1:18" x14ac:dyDescent="0.3">
      <c r="A190" s="86">
        <v>0.125</v>
      </c>
      <c r="B190" s="86">
        <v>0.1125</v>
      </c>
      <c r="C190" s="15">
        <v>10</v>
      </c>
      <c r="D190" s="15">
        <v>10</v>
      </c>
      <c r="E190" s="15">
        <f t="shared" si="46"/>
        <v>1</v>
      </c>
      <c r="F190" s="15">
        <f t="shared" si="47"/>
        <v>0.95598844371969682</v>
      </c>
      <c r="G190" s="42">
        <f t="shared" si="48"/>
        <v>-1.2080483808529943</v>
      </c>
      <c r="H190" s="15">
        <f t="shared" si="49"/>
        <v>-0.45009454163111096</v>
      </c>
      <c r="I190" s="15"/>
      <c r="J190" s="15">
        <f t="shared" si="50"/>
        <v>0.95491594183613304</v>
      </c>
      <c r="K190" s="15">
        <f t="shared" si="51"/>
        <v>-0.46131961395064025</v>
      </c>
      <c r="L190" s="15"/>
      <c r="M190" s="15">
        <f t="shared" si="52"/>
        <v>0.95344875231251369</v>
      </c>
      <c r="N190" s="15">
        <f t="shared" si="53"/>
        <v>-0.47669602305311243</v>
      </c>
      <c r="O190" s="15"/>
      <c r="P190" s="15">
        <f t="shared" si="54"/>
        <v>0.95484430683753652</v>
      </c>
      <c r="Q190" s="15">
        <f t="shared" si="55"/>
        <v>-0.46206981281649129</v>
      </c>
      <c r="R190" s="4"/>
    </row>
    <row r="191" spans="1:18" x14ac:dyDescent="0.3">
      <c r="A191" s="86">
        <v>0.125</v>
      </c>
      <c r="B191" s="86">
        <v>0.1125</v>
      </c>
      <c r="C191" s="15">
        <v>10</v>
      </c>
      <c r="D191" s="15">
        <v>10</v>
      </c>
      <c r="E191" s="15">
        <f t="shared" si="46"/>
        <v>1</v>
      </c>
      <c r="F191" s="15">
        <f t="shared" si="47"/>
        <v>0.95598844371969682</v>
      </c>
      <c r="G191" s="42">
        <f t="shared" si="48"/>
        <v>-1.2080483808529943</v>
      </c>
      <c r="H191" s="15">
        <f t="shared" si="49"/>
        <v>-0.45009454163111096</v>
      </c>
      <c r="I191" s="15"/>
      <c r="J191" s="15">
        <f t="shared" si="50"/>
        <v>0.95491594183613304</v>
      </c>
      <c r="K191" s="15">
        <f t="shared" si="51"/>
        <v>-0.46131961395064025</v>
      </c>
      <c r="L191" s="15"/>
      <c r="M191" s="15">
        <f t="shared" si="52"/>
        <v>0.95344875231251369</v>
      </c>
      <c r="N191" s="15">
        <f t="shared" si="53"/>
        <v>-0.47669602305311243</v>
      </c>
      <c r="O191" s="15"/>
      <c r="P191" s="15">
        <f t="shared" si="54"/>
        <v>0.95484430683753652</v>
      </c>
      <c r="Q191" s="15">
        <f t="shared" si="55"/>
        <v>-0.46206981281649129</v>
      </c>
      <c r="R191" s="4"/>
    </row>
    <row r="192" spans="1:18" x14ac:dyDescent="0.3">
      <c r="A192" s="86">
        <v>0.125</v>
      </c>
      <c r="B192" s="86">
        <v>0.1125</v>
      </c>
      <c r="C192" s="15">
        <v>10</v>
      </c>
      <c r="D192" s="15">
        <v>10</v>
      </c>
      <c r="E192" s="15">
        <f t="shared" si="46"/>
        <v>1</v>
      </c>
      <c r="F192" s="15">
        <f t="shared" si="47"/>
        <v>0.95598844371969682</v>
      </c>
      <c r="G192" s="42">
        <f t="shared" si="48"/>
        <v>-1.2080483808529943</v>
      </c>
      <c r="H192" s="15">
        <f t="shared" si="49"/>
        <v>-0.45009454163111096</v>
      </c>
      <c r="I192" s="15"/>
      <c r="J192" s="15">
        <f t="shared" si="50"/>
        <v>0.95491594183613304</v>
      </c>
      <c r="K192" s="15">
        <f t="shared" si="51"/>
        <v>-0.46131961395064025</v>
      </c>
      <c r="L192" s="15"/>
      <c r="M192" s="15">
        <f t="shared" si="52"/>
        <v>0.95344875231251369</v>
      </c>
      <c r="N192" s="15">
        <f t="shared" si="53"/>
        <v>-0.47669602305311243</v>
      </c>
      <c r="O192" s="15"/>
      <c r="P192" s="15">
        <f t="shared" si="54"/>
        <v>0.95484430683753652</v>
      </c>
      <c r="Q192" s="15">
        <f t="shared" si="55"/>
        <v>-0.46206981281649129</v>
      </c>
      <c r="R192" s="4"/>
    </row>
    <row r="193" spans="1:18" x14ac:dyDescent="0.3">
      <c r="A193" s="86">
        <v>0.125</v>
      </c>
      <c r="B193" s="86">
        <v>0.1125</v>
      </c>
      <c r="C193" s="15">
        <v>10</v>
      </c>
      <c r="D193" s="15">
        <v>10</v>
      </c>
      <c r="E193" s="15">
        <f t="shared" si="46"/>
        <v>1</v>
      </c>
      <c r="F193" s="15">
        <f t="shared" si="47"/>
        <v>0.95598844371969682</v>
      </c>
      <c r="G193" s="42">
        <f t="shared" si="48"/>
        <v>-1.2080483808529943</v>
      </c>
      <c r="H193" s="15">
        <f t="shared" si="49"/>
        <v>-0.45009454163111096</v>
      </c>
      <c r="I193" s="15"/>
      <c r="J193" s="15">
        <f t="shared" si="50"/>
        <v>0.95491594183613304</v>
      </c>
      <c r="K193" s="15">
        <f t="shared" si="51"/>
        <v>-0.46131961395064025</v>
      </c>
      <c r="L193" s="15"/>
      <c r="M193" s="15">
        <f t="shared" si="52"/>
        <v>0.95344875231251369</v>
      </c>
      <c r="N193" s="15">
        <f t="shared" si="53"/>
        <v>-0.47669602305311243</v>
      </c>
      <c r="O193" s="15"/>
      <c r="P193" s="15">
        <f t="shared" si="54"/>
        <v>0.95484430683753652</v>
      </c>
      <c r="Q193" s="15">
        <f t="shared" si="55"/>
        <v>-0.46206981281649129</v>
      </c>
      <c r="R193" s="4"/>
    </row>
    <row r="194" spans="1:18" x14ac:dyDescent="0.3">
      <c r="A194" s="86">
        <v>0.125</v>
      </c>
      <c r="B194" s="86">
        <v>0.1125</v>
      </c>
      <c r="C194" s="15">
        <v>10</v>
      </c>
      <c r="D194" s="15">
        <v>10</v>
      </c>
      <c r="E194" s="15">
        <f t="shared" si="46"/>
        <v>1</v>
      </c>
      <c r="F194" s="15">
        <f t="shared" si="47"/>
        <v>0.95598844371969682</v>
      </c>
      <c r="G194" s="42">
        <f t="shared" si="48"/>
        <v>-1.2080483808529943</v>
      </c>
      <c r="H194" s="15">
        <f t="shared" si="49"/>
        <v>-0.45009454163111096</v>
      </c>
      <c r="I194" s="15"/>
      <c r="J194" s="15">
        <f t="shared" si="50"/>
        <v>0.95491594183613304</v>
      </c>
      <c r="K194" s="15">
        <f t="shared" si="51"/>
        <v>-0.46131961395064025</v>
      </c>
      <c r="L194" s="15"/>
      <c r="M194" s="15">
        <f t="shared" si="52"/>
        <v>0.95344875231251369</v>
      </c>
      <c r="N194" s="15">
        <f t="shared" si="53"/>
        <v>-0.47669602305311243</v>
      </c>
      <c r="O194" s="15"/>
      <c r="P194" s="15">
        <f t="shared" si="54"/>
        <v>0.95484430683753652</v>
      </c>
      <c r="Q194" s="15">
        <f t="shared" si="55"/>
        <v>-0.46206981281649129</v>
      </c>
      <c r="R194" s="4"/>
    </row>
    <row r="195" spans="1:18" x14ac:dyDescent="0.3">
      <c r="A195" s="86">
        <v>0.25</v>
      </c>
      <c r="B195" s="86">
        <v>0.22500000000000001</v>
      </c>
      <c r="C195" s="15">
        <v>8</v>
      </c>
      <c r="D195" s="15">
        <v>10</v>
      </c>
      <c r="E195" s="15">
        <f t="shared" si="46"/>
        <v>0.8</v>
      </c>
      <c r="F195" s="15">
        <f t="shared" si="47"/>
        <v>0.9298006302282471</v>
      </c>
      <c r="G195" s="42">
        <f t="shared" si="48"/>
        <v>-0.30916119232860295</v>
      </c>
      <c r="H195" s="15">
        <f t="shared" si="49"/>
        <v>-0.89108839114285687</v>
      </c>
      <c r="I195" s="15"/>
      <c r="J195" s="15">
        <f t="shared" si="50"/>
        <v>0.92653868699253938</v>
      </c>
      <c r="K195" s="15">
        <f t="shared" si="51"/>
        <v>-0.82836431909260089</v>
      </c>
      <c r="L195" s="15"/>
      <c r="M195" s="15">
        <f t="shared" si="52"/>
        <v>0.92496239200320662</v>
      </c>
      <c r="N195" s="15">
        <f t="shared" si="53"/>
        <v>-0.79952506367387222</v>
      </c>
      <c r="O195" s="15"/>
      <c r="P195" s="15">
        <f t="shared" si="54"/>
        <v>0.92669664403148388</v>
      </c>
      <c r="Q195" s="15">
        <f t="shared" si="55"/>
        <v>-0.83130563337370722</v>
      </c>
      <c r="R195" s="4"/>
    </row>
    <row r="196" spans="1:18" x14ac:dyDescent="0.3">
      <c r="A196" s="86">
        <v>0.25</v>
      </c>
      <c r="B196" s="86">
        <v>0.22500000000000001</v>
      </c>
      <c r="C196" s="15">
        <v>9</v>
      </c>
      <c r="D196" s="15">
        <v>10</v>
      </c>
      <c r="E196" s="15">
        <f t="shared" si="46"/>
        <v>0.9</v>
      </c>
      <c r="F196" s="15">
        <f t="shared" si="47"/>
        <v>0.9298006302282471</v>
      </c>
      <c r="G196" s="42">
        <f t="shared" si="48"/>
        <v>-9.7871703672560983E-3</v>
      </c>
      <c r="H196" s="15">
        <f t="shared" si="49"/>
        <v>-6.0652038924558782E-2</v>
      </c>
      <c r="I196" s="15"/>
      <c r="J196" s="15">
        <f t="shared" si="50"/>
        <v>0.92653868699253938</v>
      </c>
      <c r="K196" s="15">
        <f t="shared" si="51"/>
        <v>-4.6861933649253507E-2</v>
      </c>
      <c r="L196" s="15"/>
      <c r="M196" s="15">
        <f t="shared" si="52"/>
        <v>0.92496239200320662</v>
      </c>
      <c r="N196" s="15">
        <f t="shared" si="53"/>
        <v>-4.095591356375744E-2</v>
      </c>
      <c r="O196" s="15"/>
      <c r="P196" s="15">
        <f t="shared" si="54"/>
        <v>0.92669664403148388</v>
      </c>
      <c r="Q196" s="15">
        <f t="shared" si="55"/>
        <v>-4.748025953601287E-2</v>
      </c>
      <c r="R196" s="4"/>
    </row>
    <row r="197" spans="1:18" x14ac:dyDescent="0.3">
      <c r="A197" s="86">
        <v>0.25</v>
      </c>
      <c r="B197" s="86">
        <v>0.22500000000000001</v>
      </c>
      <c r="C197" s="15">
        <v>10</v>
      </c>
      <c r="D197" s="15">
        <v>10</v>
      </c>
      <c r="E197" s="15">
        <f t="shared" si="46"/>
        <v>1</v>
      </c>
      <c r="F197" s="15">
        <f t="shared" si="47"/>
        <v>0.9298006302282471</v>
      </c>
      <c r="G197" s="42">
        <f t="shared" si="48"/>
        <v>-1.2080483808529943</v>
      </c>
      <c r="H197" s="15">
        <f t="shared" si="49"/>
        <v>-0.72785091915334865</v>
      </c>
      <c r="I197" s="15"/>
      <c r="J197" s="15">
        <f t="shared" si="50"/>
        <v>0.92653868699253938</v>
      </c>
      <c r="K197" s="15">
        <f t="shared" si="51"/>
        <v>-0.76299478065299353</v>
      </c>
      <c r="L197" s="15"/>
      <c r="M197" s="15">
        <f t="shared" si="52"/>
        <v>0.92496239200320662</v>
      </c>
      <c r="N197" s="15">
        <f t="shared" si="53"/>
        <v>-0.78002199590072707</v>
      </c>
      <c r="O197" s="15"/>
      <c r="P197" s="15">
        <f t="shared" si="54"/>
        <v>0.92669664403148388</v>
      </c>
      <c r="Q197" s="15">
        <f t="shared" si="55"/>
        <v>-0.76129011814540237</v>
      </c>
      <c r="R197" s="4"/>
    </row>
    <row r="198" spans="1:18" x14ac:dyDescent="0.3">
      <c r="A198" s="86">
        <v>0.25</v>
      </c>
      <c r="B198" s="86">
        <v>0.22500000000000001</v>
      </c>
      <c r="C198" s="15">
        <v>10</v>
      </c>
      <c r="D198" s="15">
        <v>10</v>
      </c>
      <c r="E198" s="15">
        <f t="shared" si="46"/>
        <v>1</v>
      </c>
      <c r="F198" s="15">
        <f t="shared" si="47"/>
        <v>0.9298006302282471</v>
      </c>
      <c r="G198" s="42">
        <f t="shared" si="48"/>
        <v>-1.2080483808529943</v>
      </c>
      <c r="H198" s="15">
        <f t="shared" si="49"/>
        <v>-0.72785091915334865</v>
      </c>
      <c r="I198" s="15"/>
      <c r="J198" s="15">
        <f t="shared" si="50"/>
        <v>0.92653868699253938</v>
      </c>
      <c r="K198" s="15">
        <f t="shared" si="51"/>
        <v>-0.76299478065299353</v>
      </c>
      <c r="L198" s="15"/>
      <c r="M198" s="15">
        <f t="shared" si="52"/>
        <v>0.92496239200320662</v>
      </c>
      <c r="N198" s="15">
        <f t="shared" si="53"/>
        <v>-0.78002199590072707</v>
      </c>
      <c r="O198" s="15"/>
      <c r="P198" s="15">
        <f t="shared" si="54"/>
        <v>0.92669664403148388</v>
      </c>
      <c r="Q198" s="15">
        <f t="shared" si="55"/>
        <v>-0.76129011814540237</v>
      </c>
      <c r="R198" s="4"/>
    </row>
    <row r="199" spans="1:18" x14ac:dyDescent="0.3">
      <c r="A199" s="86">
        <v>0.25</v>
      </c>
      <c r="B199" s="86">
        <v>0.22500000000000001</v>
      </c>
      <c r="C199" s="15">
        <v>10</v>
      </c>
      <c r="D199" s="15">
        <v>10</v>
      </c>
      <c r="E199" s="15">
        <f t="shared" si="46"/>
        <v>1</v>
      </c>
      <c r="F199" s="15">
        <f t="shared" si="47"/>
        <v>0.9298006302282471</v>
      </c>
      <c r="G199" s="42">
        <f t="shared" si="48"/>
        <v>-1.2080483808529943</v>
      </c>
      <c r="H199" s="15">
        <f t="shared" si="49"/>
        <v>-0.72785091915334865</v>
      </c>
      <c r="I199" s="15"/>
      <c r="J199" s="15">
        <f t="shared" si="50"/>
        <v>0.92653868699253938</v>
      </c>
      <c r="K199" s="15">
        <f t="shared" si="51"/>
        <v>-0.76299478065299353</v>
      </c>
      <c r="L199" s="15"/>
      <c r="M199" s="15">
        <f t="shared" si="52"/>
        <v>0.92496239200320662</v>
      </c>
      <c r="N199" s="15">
        <f t="shared" si="53"/>
        <v>-0.78002199590072707</v>
      </c>
      <c r="O199" s="15"/>
      <c r="P199" s="15">
        <f t="shared" si="54"/>
        <v>0.92669664403148388</v>
      </c>
      <c r="Q199" s="15">
        <f t="shared" si="55"/>
        <v>-0.76129011814540237</v>
      </c>
      <c r="R199" s="4"/>
    </row>
    <row r="200" spans="1:18" x14ac:dyDescent="0.3">
      <c r="A200" s="86">
        <v>0.5</v>
      </c>
      <c r="B200" s="86">
        <v>0.45</v>
      </c>
      <c r="C200" s="15">
        <v>8</v>
      </c>
      <c r="D200" s="15">
        <v>10</v>
      </c>
      <c r="E200" s="15">
        <f t="shared" ref="E200:E209" si="56">C200/D200</f>
        <v>0.8</v>
      </c>
      <c r="F200" s="15">
        <f t="shared" ref="F200:F209" si="57">CA(A200,B200,$F$2,$F$3,$F$4,$F$5,$F$6)+0.01</f>
        <v>0.81684667282966483</v>
      </c>
      <c r="G200" s="42">
        <f t="shared" ref="G200:G209" si="58">totalbinLik($G$23,D200,C200)</f>
        <v>-0.30916119232860295</v>
      </c>
      <c r="H200" s="15">
        <f t="shared" ref="H200:H209" si="59">BinLik(D200,C200,F200)</f>
        <v>-9.2699932436007548E-3</v>
      </c>
      <c r="I200" s="15"/>
      <c r="J200" s="15">
        <f t="shared" ref="J200:J209" si="60">CA_SA(A200,B200,$J$2,$J$3,$J$4,$J$5,$J$6,$J$7)+0.01</f>
        <v>0.81179964510967761</v>
      </c>
      <c r="K200" s="15">
        <f t="shared" ref="K200:K209" si="61">BinLik(D200,C200,J200)</f>
        <v>-4.4857908038451744E-3</v>
      </c>
      <c r="L200" s="15"/>
      <c r="M200" s="15">
        <f t="shared" ref="M200:M209" si="62">CA_DR(A200,B200,$M$2,$M$3,$M$4,$M$5,$M$6,$M$7,$M$8)+0.01</f>
        <v>0.80685691887523148</v>
      </c>
      <c r="N200" s="15">
        <f t="shared" ref="N200:N209" si="63">BinLik(D200,C200,M200)</f>
        <v>-1.4951998483407336E-3</v>
      </c>
      <c r="O200" s="15"/>
      <c r="P200" s="15">
        <f t="shared" ref="P200:P209" si="64">CA_DL(A200,B200,$P$2,$P$3,$P$4,$P$5,$P$6,$P$7,$P$8)+0.01</f>
        <v>0.81226673400560223</v>
      </c>
      <c r="Q200" s="15">
        <f t="shared" ref="Q200:Q209" si="65">BinLik(D200,C200,P200)</f>
        <v>-4.8540284751458496E-3</v>
      </c>
      <c r="R200" s="4"/>
    </row>
    <row r="201" spans="1:18" x14ac:dyDescent="0.3">
      <c r="A201" s="86">
        <v>0.5</v>
      </c>
      <c r="B201" s="86">
        <v>0.45</v>
      </c>
      <c r="C201" s="15">
        <v>7</v>
      </c>
      <c r="D201" s="15">
        <v>10</v>
      </c>
      <c r="E201" s="15">
        <f t="shared" si="56"/>
        <v>0.7</v>
      </c>
      <c r="F201" s="15">
        <f t="shared" si="57"/>
        <v>0.81684667282966483</v>
      </c>
      <c r="G201" s="42">
        <f t="shared" si="58"/>
        <v>-1.2571109305902908</v>
      </c>
      <c r="H201" s="15">
        <f t="shared" si="59"/>
        <v>-0.39977895894101434</v>
      </c>
      <c r="I201" s="15"/>
      <c r="J201" s="15">
        <f t="shared" si="60"/>
        <v>0.81179964510967761</v>
      </c>
      <c r="K201" s="15">
        <f t="shared" si="61"/>
        <v>-0.36161346001885919</v>
      </c>
      <c r="L201" s="15"/>
      <c r="M201" s="15">
        <f t="shared" si="62"/>
        <v>0.80685691887523148</v>
      </c>
      <c r="N201" s="15">
        <f t="shared" si="63"/>
        <v>-0.32659149998444925</v>
      </c>
      <c r="O201" s="15"/>
      <c r="P201" s="15">
        <f t="shared" si="64"/>
        <v>0.81226673400560223</v>
      </c>
      <c r="Q201" s="15">
        <f t="shared" si="65"/>
        <v>-0.36504186220232748</v>
      </c>
      <c r="R201" s="4"/>
    </row>
    <row r="202" spans="1:18" x14ac:dyDescent="0.3">
      <c r="A202" s="86">
        <v>0.5</v>
      </c>
      <c r="B202" s="86">
        <v>0.45</v>
      </c>
      <c r="C202" s="15">
        <v>7</v>
      </c>
      <c r="D202" s="15">
        <v>10</v>
      </c>
      <c r="E202" s="15">
        <f t="shared" si="56"/>
        <v>0.7</v>
      </c>
      <c r="F202" s="15">
        <f t="shared" si="57"/>
        <v>0.81684667282966483</v>
      </c>
      <c r="G202" s="42">
        <f t="shared" si="58"/>
        <v>-1.2571109305902908</v>
      </c>
      <c r="H202" s="15">
        <f t="shared" si="59"/>
        <v>-0.39977895894101434</v>
      </c>
      <c r="I202" s="15"/>
      <c r="J202" s="15">
        <f t="shared" si="60"/>
        <v>0.81179964510967761</v>
      </c>
      <c r="K202" s="15">
        <f t="shared" si="61"/>
        <v>-0.36161346001885919</v>
      </c>
      <c r="L202" s="15"/>
      <c r="M202" s="15">
        <f t="shared" si="62"/>
        <v>0.80685691887523148</v>
      </c>
      <c r="N202" s="15">
        <f t="shared" si="63"/>
        <v>-0.32659149998444925</v>
      </c>
      <c r="O202" s="15"/>
      <c r="P202" s="15">
        <f t="shared" si="64"/>
        <v>0.81226673400560223</v>
      </c>
      <c r="Q202" s="15">
        <f t="shared" si="65"/>
        <v>-0.36504186220232748</v>
      </c>
      <c r="R202" s="4"/>
    </row>
    <row r="203" spans="1:18" x14ac:dyDescent="0.3">
      <c r="A203" s="86">
        <v>0.5</v>
      </c>
      <c r="B203" s="86">
        <v>0.45</v>
      </c>
      <c r="C203" s="15">
        <v>7</v>
      </c>
      <c r="D203" s="15">
        <v>10</v>
      </c>
      <c r="E203" s="15">
        <f t="shared" si="56"/>
        <v>0.7</v>
      </c>
      <c r="F203" s="15">
        <f t="shared" si="57"/>
        <v>0.81684667282966483</v>
      </c>
      <c r="G203" s="42">
        <f t="shared" si="58"/>
        <v>-1.2571109305902908</v>
      </c>
      <c r="H203" s="15">
        <f t="shared" si="59"/>
        <v>-0.39977895894101434</v>
      </c>
      <c r="I203" s="15"/>
      <c r="J203" s="15">
        <f t="shared" si="60"/>
        <v>0.81179964510967761</v>
      </c>
      <c r="K203" s="15">
        <f t="shared" si="61"/>
        <v>-0.36161346001885919</v>
      </c>
      <c r="L203" s="15"/>
      <c r="M203" s="15">
        <f t="shared" si="62"/>
        <v>0.80685691887523148</v>
      </c>
      <c r="N203" s="15">
        <f t="shared" si="63"/>
        <v>-0.32659149998444925</v>
      </c>
      <c r="O203" s="15"/>
      <c r="P203" s="15">
        <f t="shared" si="64"/>
        <v>0.81226673400560223</v>
      </c>
      <c r="Q203" s="15">
        <f t="shared" si="65"/>
        <v>-0.36504186220232748</v>
      </c>
      <c r="R203" s="4"/>
    </row>
    <row r="204" spans="1:18" x14ac:dyDescent="0.3">
      <c r="A204" s="86">
        <v>0.5</v>
      </c>
      <c r="B204" s="86">
        <v>0.45</v>
      </c>
      <c r="C204" s="15">
        <v>6</v>
      </c>
      <c r="D204" s="15">
        <v>10</v>
      </c>
      <c r="E204" s="15">
        <f t="shared" si="56"/>
        <v>0.6</v>
      </c>
      <c r="F204" s="15">
        <f t="shared" si="57"/>
        <v>0.81684667282966483</v>
      </c>
      <c r="G204" s="42">
        <f t="shared" si="58"/>
        <v>-2.6882058044754054</v>
      </c>
      <c r="H204" s="15">
        <f t="shared" si="59"/>
        <v>-1.2734330602618544</v>
      </c>
      <c r="I204" s="15"/>
      <c r="J204" s="15">
        <f t="shared" si="60"/>
        <v>0.81179964510967761</v>
      </c>
      <c r="K204" s="15">
        <f t="shared" si="61"/>
        <v>-1.2018862648572974</v>
      </c>
      <c r="L204" s="15"/>
      <c r="M204" s="15">
        <f t="shared" si="62"/>
        <v>0.80685691887523148</v>
      </c>
      <c r="N204" s="15">
        <f t="shared" si="63"/>
        <v>-1.1348329357439839</v>
      </c>
      <c r="O204" s="15"/>
      <c r="P204" s="15">
        <f t="shared" si="64"/>
        <v>0.81226673400560223</v>
      </c>
      <c r="Q204" s="15">
        <f t="shared" si="65"/>
        <v>-1.2083748315529357</v>
      </c>
      <c r="R204" s="4"/>
    </row>
    <row r="205" spans="1:18" x14ac:dyDescent="0.3">
      <c r="A205" s="86">
        <v>1</v>
      </c>
      <c r="B205" s="86">
        <v>0.9</v>
      </c>
      <c r="C205" s="15">
        <v>4</v>
      </c>
      <c r="D205" s="15">
        <v>10</v>
      </c>
      <c r="E205" s="15">
        <f t="shared" si="56"/>
        <v>0.4</v>
      </c>
      <c r="F205" s="15">
        <f t="shared" si="57"/>
        <v>0.49271184780371513</v>
      </c>
      <c r="G205" s="42">
        <f t="shared" si="58"/>
        <v>-6.7933428513328931</v>
      </c>
      <c r="H205" s="15">
        <f t="shared" si="59"/>
        <v>-0.17326291790872406</v>
      </c>
      <c r="I205" s="15"/>
      <c r="J205" s="15">
        <f t="shared" si="60"/>
        <v>0.4969008197688457</v>
      </c>
      <c r="K205" s="15">
        <f t="shared" si="61"/>
        <v>-0.18915035787166889</v>
      </c>
      <c r="L205" s="15"/>
      <c r="M205" s="15">
        <f t="shared" si="62"/>
        <v>0.47598405078032546</v>
      </c>
      <c r="N205" s="15">
        <f t="shared" si="63"/>
        <v>-0.11676600430491402</v>
      </c>
      <c r="O205" s="15"/>
      <c r="P205" s="15">
        <f t="shared" si="64"/>
        <v>0.49486362110074061</v>
      </c>
      <c r="Q205" s="15">
        <f t="shared" si="65"/>
        <v>-0.18133657275150705</v>
      </c>
      <c r="R205" s="4"/>
    </row>
    <row r="206" spans="1:18" x14ac:dyDescent="0.3">
      <c r="A206" s="86">
        <v>1</v>
      </c>
      <c r="B206" s="86">
        <v>0.9</v>
      </c>
      <c r="C206" s="15">
        <v>2</v>
      </c>
      <c r="D206" s="15">
        <v>10</v>
      </c>
      <c r="E206" s="15">
        <f t="shared" si="56"/>
        <v>0.2</v>
      </c>
      <c r="F206" s="15">
        <f t="shared" si="57"/>
        <v>0.49271184780371513</v>
      </c>
      <c r="G206" s="42">
        <f t="shared" si="58"/>
        <v>-12.624572332901067</v>
      </c>
      <c r="H206" s="15">
        <f t="shared" si="59"/>
        <v>-1.8410460051790207</v>
      </c>
      <c r="I206" s="15"/>
      <c r="J206" s="15">
        <f t="shared" si="60"/>
        <v>0.4969008197688457</v>
      </c>
      <c r="K206" s="15">
        <f t="shared" si="61"/>
        <v>-1.8904490332071628</v>
      </c>
      <c r="L206" s="15"/>
      <c r="M206" s="15">
        <f t="shared" si="62"/>
        <v>0.47598405078032546</v>
      </c>
      <c r="N206" s="15">
        <f t="shared" si="63"/>
        <v>-1.6505828902277484</v>
      </c>
      <c r="O206" s="15"/>
      <c r="P206" s="15">
        <f t="shared" si="64"/>
        <v>0.49486362110074061</v>
      </c>
      <c r="Q206" s="15">
        <f t="shared" si="65"/>
        <v>-1.8663365307372071</v>
      </c>
      <c r="R206" s="4"/>
    </row>
    <row r="207" spans="1:18" x14ac:dyDescent="0.3">
      <c r="A207" s="86">
        <v>1</v>
      </c>
      <c r="B207" s="86">
        <v>0.9</v>
      </c>
      <c r="C207" s="15">
        <v>4</v>
      </c>
      <c r="D207" s="15">
        <v>10</v>
      </c>
      <c r="E207" s="15">
        <f t="shared" si="56"/>
        <v>0.4</v>
      </c>
      <c r="F207" s="15">
        <f t="shared" si="57"/>
        <v>0.49271184780371513</v>
      </c>
      <c r="G207" s="42">
        <f t="shared" si="58"/>
        <v>-6.7933428513328931</v>
      </c>
      <c r="H207" s="15">
        <f t="shared" si="59"/>
        <v>-0.17326291790872406</v>
      </c>
      <c r="I207" s="15"/>
      <c r="J207" s="15">
        <f t="shared" si="60"/>
        <v>0.4969008197688457</v>
      </c>
      <c r="K207" s="15">
        <f t="shared" si="61"/>
        <v>-0.18915035787166889</v>
      </c>
      <c r="L207" s="15"/>
      <c r="M207" s="15">
        <f t="shared" si="62"/>
        <v>0.47598405078032546</v>
      </c>
      <c r="N207" s="15">
        <f t="shared" si="63"/>
        <v>-0.11676600430491402</v>
      </c>
      <c r="O207" s="15"/>
      <c r="P207" s="15">
        <f t="shared" si="64"/>
        <v>0.49486362110074061</v>
      </c>
      <c r="Q207" s="15">
        <f t="shared" si="65"/>
        <v>-0.18133657275150705</v>
      </c>
      <c r="R207" s="4"/>
    </row>
    <row r="208" spans="1:18" x14ac:dyDescent="0.3">
      <c r="A208" s="86">
        <v>1</v>
      </c>
      <c r="B208" s="86">
        <v>0.9</v>
      </c>
      <c r="C208" s="15">
        <v>4</v>
      </c>
      <c r="D208" s="15">
        <v>10</v>
      </c>
      <c r="E208" s="15">
        <f t="shared" si="56"/>
        <v>0.4</v>
      </c>
      <c r="F208" s="15">
        <f t="shared" si="57"/>
        <v>0.49271184780371513</v>
      </c>
      <c r="G208" s="42">
        <f t="shared" si="58"/>
        <v>-6.7933428513328931</v>
      </c>
      <c r="H208" s="15">
        <f t="shared" si="59"/>
        <v>-0.17326291790872406</v>
      </c>
      <c r="I208" s="15"/>
      <c r="J208" s="15">
        <f t="shared" si="60"/>
        <v>0.4969008197688457</v>
      </c>
      <c r="K208" s="15">
        <f t="shared" si="61"/>
        <v>-0.18915035787166889</v>
      </c>
      <c r="L208" s="15"/>
      <c r="M208" s="15">
        <f t="shared" si="62"/>
        <v>0.47598405078032546</v>
      </c>
      <c r="N208" s="15">
        <f t="shared" si="63"/>
        <v>-0.11676600430491402</v>
      </c>
      <c r="O208" s="15"/>
      <c r="P208" s="15">
        <f t="shared" si="64"/>
        <v>0.49486362110074061</v>
      </c>
      <c r="Q208" s="15">
        <f t="shared" si="65"/>
        <v>-0.18133657275150705</v>
      </c>
      <c r="R208" s="4"/>
    </row>
    <row r="209" spans="1:18" x14ac:dyDescent="0.3">
      <c r="A209" s="86">
        <v>1</v>
      </c>
      <c r="B209" s="86">
        <v>0.9</v>
      </c>
      <c r="C209" s="15">
        <v>4</v>
      </c>
      <c r="D209" s="15">
        <v>10</v>
      </c>
      <c r="E209" s="15">
        <f t="shared" si="56"/>
        <v>0.4</v>
      </c>
      <c r="F209" s="15">
        <f t="shared" si="57"/>
        <v>0.49271184780371513</v>
      </c>
      <c r="G209" s="42">
        <f t="shared" si="58"/>
        <v>-6.7933428513328931</v>
      </c>
      <c r="H209" s="15">
        <f t="shared" si="59"/>
        <v>-0.17326291790872406</v>
      </c>
      <c r="I209" s="15"/>
      <c r="J209" s="15">
        <f t="shared" si="60"/>
        <v>0.4969008197688457</v>
      </c>
      <c r="K209" s="15">
        <f t="shared" si="61"/>
        <v>-0.18915035787166889</v>
      </c>
      <c r="L209" s="15"/>
      <c r="M209" s="15">
        <f t="shared" si="62"/>
        <v>0.47598405078032546</v>
      </c>
      <c r="N209" s="15">
        <f t="shared" si="63"/>
        <v>-0.11676600430491402</v>
      </c>
      <c r="O209" s="15"/>
      <c r="P209" s="15">
        <f t="shared" si="64"/>
        <v>0.49486362110074061</v>
      </c>
      <c r="Q209" s="15">
        <f t="shared" si="65"/>
        <v>-0.18133657275150705</v>
      </c>
      <c r="R209" s="4"/>
    </row>
    <row r="210" spans="1:18" x14ac:dyDescent="0.3">
      <c r="A210" s="14"/>
      <c r="B210" s="14"/>
      <c r="C210" s="15"/>
      <c r="D210" s="15"/>
      <c r="E210" s="15"/>
      <c r="F210" s="15"/>
      <c r="G210" s="44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4"/>
    </row>
    <row r="211" spans="1:18" x14ac:dyDescent="0.3">
      <c r="A211" s="14"/>
      <c r="B211" s="14"/>
      <c r="C211" s="15"/>
      <c r="D211" s="15"/>
      <c r="E211" s="15"/>
      <c r="F211" s="15"/>
      <c r="G211" s="44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4"/>
    </row>
    <row r="212" spans="1:18" x14ac:dyDescent="0.3">
      <c r="A212" s="14"/>
      <c r="B212" s="14"/>
      <c r="C212" s="15"/>
      <c r="D212" s="15"/>
      <c r="E212" s="15"/>
      <c r="F212" s="15"/>
      <c r="G212" s="44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4"/>
    </row>
    <row r="213" spans="1:18" x14ac:dyDescent="0.3">
      <c r="A213" s="14"/>
      <c r="B213" s="14"/>
      <c r="C213" s="15"/>
      <c r="D213" s="15"/>
      <c r="E213" s="15"/>
      <c r="F213" s="15"/>
      <c r="G213" s="44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4"/>
    </row>
    <row r="214" spans="1:18" x14ac:dyDescent="0.3">
      <c r="A214" s="14"/>
      <c r="B214" s="14"/>
      <c r="C214" s="15"/>
      <c r="D214" s="15"/>
      <c r="E214" s="15"/>
      <c r="F214" s="15"/>
      <c r="G214" s="44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4"/>
    </row>
    <row r="215" spans="1:18" x14ac:dyDescent="0.3">
      <c r="A215" s="14"/>
      <c r="B215" s="14"/>
      <c r="C215" s="15"/>
      <c r="D215" s="15"/>
      <c r="E215" s="15"/>
      <c r="F215" s="15"/>
      <c r="G215" s="44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4"/>
    </row>
    <row r="216" spans="1:18" x14ac:dyDescent="0.3">
      <c r="A216" s="14"/>
      <c r="B216" s="14"/>
      <c r="C216" s="15"/>
      <c r="D216" s="15"/>
      <c r="E216" s="15"/>
      <c r="F216" s="15"/>
      <c r="G216" s="44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4"/>
    </row>
    <row r="217" spans="1:18" x14ac:dyDescent="0.3">
      <c r="A217" s="14"/>
      <c r="B217" s="14"/>
      <c r="C217" s="15"/>
      <c r="D217" s="15"/>
      <c r="E217" s="15"/>
      <c r="F217" s="15"/>
      <c r="G217" s="44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4"/>
    </row>
    <row r="218" spans="1:18" x14ac:dyDescent="0.3">
      <c r="A218" s="14"/>
      <c r="B218" s="14"/>
      <c r="C218" s="15"/>
      <c r="D218" s="15"/>
      <c r="E218" s="15"/>
      <c r="F218" s="15"/>
      <c r="G218" s="44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4"/>
    </row>
    <row r="219" spans="1:18" x14ac:dyDescent="0.3">
      <c r="A219" s="14"/>
      <c r="B219" s="14"/>
      <c r="C219" s="15"/>
      <c r="D219" s="15"/>
      <c r="E219" s="15"/>
      <c r="F219" s="15"/>
      <c r="G219" s="44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4"/>
    </row>
    <row r="220" spans="1:18" x14ac:dyDescent="0.3">
      <c r="A220" s="14"/>
      <c r="B220" s="14"/>
      <c r="C220" s="15"/>
      <c r="D220" s="15"/>
      <c r="E220" s="15"/>
      <c r="F220" s="15"/>
      <c r="G220" s="44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4"/>
    </row>
    <row r="221" spans="1:18" x14ac:dyDescent="0.3">
      <c r="A221" s="14"/>
      <c r="B221" s="14"/>
      <c r="C221" s="15"/>
      <c r="D221" s="15"/>
      <c r="E221" s="15"/>
      <c r="F221" s="15"/>
      <c r="G221" s="44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4"/>
    </row>
    <row r="222" spans="1:18" x14ac:dyDescent="0.3">
      <c r="A222" s="14"/>
      <c r="B222" s="14"/>
      <c r="C222" s="15"/>
      <c r="D222" s="15"/>
      <c r="E222" s="15"/>
      <c r="F222" s="15"/>
      <c r="G222" s="44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4"/>
    </row>
    <row r="223" spans="1:18" x14ac:dyDescent="0.3">
      <c r="A223" s="14"/>
      <c r="B223" s="14"/>
      <c r="C223" s="15"/>
      <c r="D223" s="15"/>
      <c r="E223" s="15"/>
      <c r="F223" s="15"/>
      <c r="G223" s="44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4"/>
    </row>
    <row r="224" spans="1:18" x14ac:dyDescent="0.3">
      <c r="A224" s="14"/>
      <c r="B224" s="14"/>
      <c r="C224" s="15"/>
      <c r="D224" s="15"/>
      <c r="E224" s="15"/>
      <c r="F224" s="15"/>
      <c r="G224" s="44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4"/>
    </row>
    <row r="225" spans="3:18" x14ac:dyDescent="0.3">
      <c r="C225" s="3"/>
      <c r="D225" s="3"/>
      <c r="E225" s="3"/>
      <c r="F225" s="2"/>
      <c r="G225" s="43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4"/>
    </row>
    <row r="226" spans="3:18" x14ac:dyDescent="0.3">
      <c r="E226" s="3"/>
      <c r="F226" s="1" t="s">
        <v>17</v>
      </c>
      <c r="G226" s="41"/>
      <c r="H226" s="1" t="s">
        <v>16</v>
      </c>
      <c r="I226" s="2"/>
      <c r="J226" s="1" t="s">
        <v>17</v>
      </c>
      <c r="K226" s="1" t="s">
        <v>16</v>
      </c>
      <c r="L226" s="2"/>
      <c r="M226" s="1" t="s">
        <v>17</v>
      </c>
      <c r="N226" s="1" t="s">
        <v>16</v>
      </c>
      <c r="O226" s="2"/>
      <c r="P226" s="1" t="s">
        <v>17</v>
      </c>
      <c r="Q226" s="1" t="s">
        <v>16</v>
      </c>
      <c r="R226" s="4"/>
    </row>
    <row r="227" spans="3:18" x14ac:dyDescent="0.3">
      <c r="C227" s="2"/>
      <c r="D227" s="2"/>
      <c r="E227" s="3"/>
      <c r="F227">
        <f>(A135/$F$5)+(B135/$F$6)</f>
        <v>2.2326014134696426E-2</v>
      </c>
      <c r="H227" s="3">
        <f>E135-F135</f>
        <v>3.8873743217576529E-2</v>
      </c>
      <c r="I227" s="2"/>
      <c r="J227">
        <f>(A135/$J$5)+(B135/$J$6)</f>
        <v>2.2937561411630635E-2</v>
      </c>
      <c r="K227" s="3">
        <f>E135-J135</f>
        <v>3.8202124414262073E-2</v>
      </c>
      <c r="L227" s="2"/>
      <c r="M227">
        <f>(A135/$M$5)+(B135/$M$6)</f>
        <v>2.2133446120056022E-2</v>
      </c>
      <c r="N227" s="3">
        <f>E135-M135</f>
        <v>3.7955068854412133E-2</v>
      </c>
      <c r="O227" s="2"/>
      <c r="P227">
        <f>(A135/$P$5)+(B135/$P$6)</f>
        <v>2.2881660448197047E-2</v>
      </c>
      <c r="Q227" s="4">
        <f>E135-P135</f>
        <v>3.8190533793041936E-2</v>
      </c>
      <c r="R227" s="4"/>
    </row>
    <row r="228" spans="3:18" x14ac:dyDescent="0.3">
      <c r="C228" s="2"/>
      <c r="D228" s="2"/>
      <c r="E228" s="3"/>
      <c r="F228">
        <f t="shared" ref="F228:F291" si="66">(A136/$F$5)+(B136/$F$6)</f>
        <v>2.2326014134696426E-2</v>
      </c>
      <c r="H228" s="3">
        <f t="shared" ref="H228:H291" si="67">E136-F136</f>
        <v>3.8873743217576529E-2</v>
      </c>
      <c r="I228" s="2"/>
      <c r="J228">
        <f t="shared" ref="J228:J291" si="68">(A136/$J$5)+(B136/$J$6)</f>
        <v>2.2937561411630635E-2</v>
      </c>
      <c r="K228" s="3">
        <f t="shared" ref="K228:K291" si="69">E136-J136</f>
        <v>3.8202124414262073E-2</v>
      </c>
      <c r="L228" s="2"/>
      <c r="M228">
        <f t="shared" ref="M228:M291" si="70">(A136/$M$5)+(B136/$M$6)</f>
        <v>2.2133446120056022E-2</v>
      </c>
      <c r="N228" s="3">
        <f t="shared" ref="N228:N291" si="71">E136-M136</f>
        <v>3.7955068854412133E-2</v>
      </c>
      <c r="O228" s="2"/>
      <c r="P228">
        <f t="shared" ref="P228:P291" si="72">(A136/$P$5)+(B136/$P$6)</f>
        <v>2.2881660448197047E-2</v>
      </c>
      <c r="Q228" s="4">
        <f t="shared" ref="Q228:Q291" si="73">E136-P136</f>
        <v>3.8190533793041936E-2</v>
      </c>
      <c r="R228" s="4"/>
    </row>
    <row r="229" spans="3:18" x14ac:dyDescent="0.3">
      <c r="C229" s="2"/>
      <c r="D229" s="2"/>
      <c r="E229" s="3"/>
      <c r="F229">
        <f t="shared" si="66"/>
        <v>2.2326014134696426E-2</v>
      </c>
      <c r="H229" s="3">
        <f t="shared" si="67"/>
        <v>3.8873743217576529E-2</v>
      </c>
      <c r="I229" s="2"/>
      <c r="J229">
        <f t="shared" si="68"/>
        <v>2.2937561411630635E-2</v>
      </c>
      <c r="K229" s="3">
        <f t="shared" si="69"/>
        <v>3.8202124414262073E-2</v>
      </c>
      <c r="L229" s="2"/>
      <c r="M229">
        <f t="shared" si="70"/>
        <v>2.2133446120056022E-2</v>
      </c>
      <c r="N229" s="3">
        <f t="shared" si="71"/>
        <v>3.7955068854412133E-2</v>
      </c>
      <c r="O229" s="2"/>
      <c r="P229">
        <f t="shared" si="72"/>
        <v>2.2881660448197047E-2</v>
      </c>
      <c r="Q229" s="4">
        <f t="shared" si="73"/>
        <v>3.8190533793041936E-2</v>
      </c>
      <c r="R229" s="4"/>
    </row>
    <row r="230" spans="3:18" x14ac:dyDescent="0.3">
      <c r="C230" s="2"/>
      <c r="D230" s="2"/>
      <c r="E230" s="3"/>
      <c r="F230">
        <f t="shared" si="66"/>
        <v>2.2326014134696426E-2</v>
      </c>
      <c r="H230" s="3">
        <f t="shared" si="67"/>
        <v>-6.1126256782423449E-2</v>
      </c>
      <c r="I230" s="2"/>
      <c r="J230">
        <f t="shared" si="68"/>
        <v>2.2937561411630635E-2</v>
      </c>
      <c r="K230" s="3">
        <f t="shared" si="69"/>
        <v>-6.1797875585737905E-2</v>
      </c>
      <c r="L230" s="2"/>
      <c r="M230">
        <f t="shared" si="70"/>
        <v>2.2133446120056022E-2</v>
      </c>
      <c r="N230" s="3">
        <f t="shared" si="71"/>
        <v>-6.2044931145587845E-2</v>
      </c>
      <c r="O230" s="2"/>
      <c r="P230">
        <f t="shared" si="72"/>
        <v>2.2881660448197047E-2</v>
      </c>
      <c r="Q230" s="4">
        <f t="shared" si="73"/>
        <v>-6.1809466206958041E-2</v>
      </c>
      <c r="R230" s="4"/>
    </row>
    <row r="231" spans="3:18" x14ac:dyDescent="0.3">
      <c r="C231" s="2"/>
      <c r="D231" s="2"/>
      <c r="F231">
        <f t="shared" si="66"/>
        <v>2.2326014134696426E-2</v>
      </c>
      <c r="H231" s="3">
        <f t="shared" si="67"/>
        <v>3.8873743217576529E-2</v>
      </c>
      <c r="I231" s="2"/>
      <c r="J231">
        <f t="shared" si="68"/>
        <v>2.2937561411630635E-2</v>
      </c>
      <c r="K231" s="3">
        <f t="shared" si="69"/>
        <v>3.8202124414262073E-2</v>
      </c>
      <c r="L231" s="2"/>
      <c r="M231">
        <f t="shared" si="70"/>
        <v>2.2133446120056022E-2</v>
      </c>
      <c r="N231" s="3">
        <f t="shared" si="71"/>
        <v>3.7955068854412133E-2</v>
      </c>
      <c r="O231" s="2"/>
      <c r="P231">
        <f t="shared" si="72"/>
        <v>2.2881660448197047E-2</v>
      </c>
      <c r="Q231" s="4">
        <f t="shared" si="73"/>
        <v>3.8190533793041936E-2</v>
      </c>
      <c r="R231" s="4"/>
    </row>
    <row r="232" spans="3:18" x14ac:dyDescent="0.3">
      <c r="C232" s="2"/>
      <c r="D232" s="2"/>
      <c r="E232" s="2"/>
      <c r="F232">
        <f t="shared" si="66"/>
        <v>4.4652028269392852E-2</v>
      </c>
      <c r="H232" s="3">
        <f t="shared" si="67"/>
        <v>4.3454693451226767E-2</v>
      </c>
      <c r="I232" s="2"/>
      <c r="J232">
        <f t="shared" si="68"/>
        <v>4.5875122823261269E-2</v>
      </c>
      <c r="K232" s="3">
        <f t="shared" si="69"/>
        <v>4.2568246648959196E-2</v>
      </c>
      <c r="L232" s="2"/>
      <c r="M232">
        <f t="shared" si="70"/>
        <v>4.4266892240112043E-2</v>
      </c>
      <c r="N232" s="3">
        <f t="shared" si="71"/>
        <v>4.132658404211309E-2</v>
      </c>
      <c r="O232" s="2"/>
      <c r="P232">
        <f t="shared" si="72"/>
        <v>4.5763320896394094E-2</v>
      </c>
      <c r="Q232" s="4">
        <f t="shared" si="73"/>
        <v>4.2438866787325447E-2</v>
      </c>
      <c r="R232" s="4"/>
    </row>
    <row r="233" spans="3:18" x14ac:dyDescent="0.3">
      <c r="C233" s="2"/>
      <c r="D233" s="2"/>
      <c r="E233" s="2"/>
      <c r="F233">
        <f t="shared" si="66"/>
        <v>4.4652028269392852E-2</v>
      </c>
      <c r="H233" s="3">
        <f t="shared" si="67"/>
        <v>4.3454693451226767E-2</v>
      </c>
      <c r="I233" s="2"/>
      <c r="J233">
        <f t="shared" si="68"/>
        <v>4.5875122823261269E-2</v>
      </c>
      <c r="K233" s="3">
        <f t="shared" si="69"/>
        <v>4.2568246648959196E-2</v>
      </c>
      <c r="L233" s="2"/>
      <c r="M233">
        <f t="shared" si="70"/>
        <v>4.4266892240112043E-2</v>
      </c>
      <c r="N233" s="3">
        <f t="shared" si="71"/>
        <v>4.132658404211309E-2</v>
      </c>
      <c r="O233" s="2"/>
      <c r="P233">
        <f t="shared" si="72"/>
        <v>4.5763320896394094E-2</v>
      </c>
      <c r="Q233" s="4">
        <f t="shared" si="73"/>
        <v>4.2438866787325447E-2</v>
      </c>
      <c r="R233" s="4"/>
    </row>
    <row r="234" spans="3:18" x14ac:dyDescent="0.3">
      <c r="C234" s="2"/>
      <c r="D234" s="2"/>
      <c r="E234" s="2"/>
      <c r="F234">
        <f t="shared" si="66"/>
        <v>4.4652028269392852E-2</v>
      </c>
      <c r="H234" s="3">
        <f t="shared" si="67"/>
        <v>4.3454693451226767E-2</v>
      </c>
      <c r="I234" s="2"/>
      <c r="J234">
        <f t="shared" si="68"/>
        <v>4.5875122823261269E-2</v>
      </c>
      <c r="K234" s="3">
        <f t="shared" si="69"/>
        <v>4.2568246648959196E-2</v>
      </c>
      <c r="L234" s="2"/>
      <c r="M234">
        <f t="shared" si="70"/>
        <v>4.4266892240112043E-2</v>
      </c>
      <c r="N234" s="3">
        <f t="shared" si="71"/>
        <v>4.132658404211309E-2</v>
      </c>
      <c r="O234" s="2"/>
      <c r="P234">
        <f t="shared" si="72"/>
        <v>4.5763320896394094E-2</v>
      </c>
      <c r="Q234" s="4">
        <f t="shared" si="73"/>
        <v>4.2438866787325447E-2</v>
      </c>
      <c r="R234" s="4"/>
    </row>
    <row r="235" spans="3:18" x14ac:dyDescent="0.3">
      <c r="C235" s="2"/>
      <c r="D235" s="2"/>
      <c r="E235" s="2"/>
      <c r="F235">
        <f t="shared" si="66"/>
        <v>4.4652028269392852E-2</v>
      </c>
      <c r="H235" s="3">
        <f t="shared" si="67"/>
        <v>-5.6545306548773211E-2</v>
      </c>
      <c r="I235" s="2"/>
      <c r="J235">
        <f t="shared" si="68"/>
        <v>4.5875122823261269E-2</v>
      </c>
      <c r="K235" s="3">
        <f t="shared" si="69"/>
        <v>-5.7431753351040782E-2</v>
      </c>
      <c r="L235" s="2"/>
      <c r="M235">
        <f t="shared" si="70"/>
        <v>4.4266892240112043E-2</v>
      </c>
      <c r="N235" s="3">
        <f t="shared" si="71"/>
        <v>-5.8673415957886887E-2</v>
      </c>
      <c r="O235" s="2"/>
      <c r="P235">
        <f t="shared" si="72"/>
        <v>4.5763320896394094E-2</v>
      </c>
      <c r="Q235" s="4">
        <f t="shared" si="73"/>
        <v>-5.7561133212674531E-2</v>
      </c>
      <c r="R235" s="4"/>
    </row>
    <row r="236" spans="3:18" x14ac:dyDescent="0.3">
      <c r="E236" s="2"/>
      <c r="F236">
        <f t="shared" si="66"/>
        <v>4.4652028269392852E-2</v>
      </c>
      <c r="H236" s="3">
        <f t="shared" si="67"/>
        <v>-5.6545306548773211E-2</v>
      </c>
      <c r="I236" s="2"/>
      <c r="J236">
        <f t="shared" si="68"/>
        <v>4.5875122823261269E-2</v>
      </c>
      <c r="K236" s="3">
        <f t="shared" si="69"/>
        <v>-5.7431753351040782E-2</v>
      </c>
      <c r="L236" s="2"/>
      <c r="M236">
        <f t="shared" si="70"/>
        <v>4.4266892240112043E-2</v>
      </c>
      <c r="N236" s="3">
        <f t="shared" si="71"/>
        <v>-5.8673415957886887E-2</v>
      </c>
      <c r="O236" s="2"/>
      <c r="P236">
        <f t="shared" si="72"/>
        <v>4.5763320896394094E-2</v>
      </c>
      <c r="Q236" s="4">
        <f t="shared" si="73"/>
        <v>-5.7561133212674531E-2</v>
      </c>
      <c r="R236" s="4"/>
    </row>
    <row r="237" spans="3:18" x14ac:dyDescent="0.3">
      <c r="E237" s="2"/>
      <c r="F237">
        <f t="shared" si="66"/>
        <v>8.9304056538785703E-2</v>
      </c>
      <c r="H237" s="3">
        <f t="shared" si="67"/>
        <v>-0.14622827600500021</v>
      </c>
      <c r="I237" s="2"/>
      <c r="J237">
        <f t="shared" si="68"/>
        <v>9.1750245646522538E-2</v>
      </c>
      <c r="K237" s="3">
        <f t="shared" si="69"/>
        <v>-0.14836469792471085</v>
      </c>
      <c r="L237" s="2"/>
      <c r="M237">
        <f t="shared" si="70"/>
        <v>8.8533784480224087E-2</v>
      </c>
      <c r="N237" s="3">
        <f t="shared" si="71"/>
        <v>-0.15220297396031479</v>
      </c>
      <c r="O237" s="2"/>
      <c r="P237">
        <f t="shared" si="72"/>
        <v>9.1526641792788188E-2</v>
      </c>
      <c r="Q237" s="4">
        <f t="shared" si="73"/>
        <v>-0.14874978832506414</v>
      </c>
      <c r="R237" s="4"/>
    </row>
    <row r="238" spans="3:18" x14ac:dyDescent="0.3">
      <c r="E238" s="2"/>
      <c r="F238">
        <f t="shared" si="66"/>
        <v>8.9304056538785703E-2</v>
      </c>
      <c r="H238" s="3">
        <f t="shared" si="67"/>
        <v>-4.6228276005000235E-2</v>
      </c>
      <c r="I238" s="2"/>
      <c r="J238">
        <f t="shared" si="68"/>
        <v>9.1750245646522538E-2</v>
      </c>
      <c r="K238" s="3">
        <f t="shared" si="69"/>
        <v>-4.8364697924710875E-2</v>
      </c>
      <c r="L238" s="2"/>
      <c r="M238">
        <f t="shared" si="70"/>
        <v>8.8533784480224087E-2</v>
      </c>
      <c r="N238" s="3">
        <f t="shared" si="71"/>
        <v>-5.2202973960314814E-2</v>
      </c>
      <c r="O238" s="2"/>
      <c r="P238">
        <f t="shared" si="72"/>
        <v>9.1526641792788188E-2</v>
      </c>
      <c r="Q238" s="4">
        <f t="shared" si="73"/>
        <v>-4.8749788325064158E-2</v>
      </c>
      <c r="R238" s="4"/>
    </row>
    <row r="239" spans="3:18" x14ac:dyDescent="0.3">
      <c r="E239" s="2"/>
      <c r="F239">
        <f t="shared" si="66"/>
        <v>8.9304056538785703E-2</v>
      </c>
      <c r="H239" s="3">
        <f t="shared" si="67"/>
        <v>-4.6228276005000235E-2</v>
      </c>
      <c r="I239" s="2"/>
      <c r="J239">
        <f t="shared" si="68"/>
        <v>9.1750245646522538E-2</v>
      </c>
      <c r="K239" s="3">
        <f t="shared" si="69"/>
        <v>-4.8364697924710875E-2</v>
      </c>
      <c r="L239" s="2"/>
      <c r="M239">
        <f t="shared" si="70"/>
        <v>8.8533784480224087E-2</v>
      </c>
      <c r="N239" s="3">
        <f t="shared" si="71"/>
        <v>-5.2202973960314814E-2</v>
      </c>
      <c r="O239" s="2"/>
      <c r="P239">
        <f t="shared" si="72"/>
        <v>9.1526641792788188E-2</v>
      </c>
      <c r="Q239" s="4">
        <f t="shared" si="73"/>
        <v>-4.8749788325064158E-2</v>
      </c>
      <c r="R239" s="4"/>
    </row>
    <row r="240" spans="3:18" x14ac:dyDescent="0.3">
      <c r="E240" s="2"/>
      <c r="F240">
        <f t="shared" si="66"/>
        <v>8.9304056538785703E-2</v>
      </c>
      <c r="H240" s="3">
        <f t="shared" si="67"/>
        <v>5.3771723994999743E-2</v>
      </c>
      <c r="I240" s="2"/>
      <c r="J240">
        <f t="shared" si="68"/>
        <v>9.1750245646522538E-2</v>
      </c>
      <c r="K240" s="3">
        <f t="shared" si="69"/>
        <v>5.1635302075289102E-2</v>
      </c>
      <c r="L240" s="2"/>
      <c r="M240">
        <f t="shared" si="70"/>
        <v>8.8533784480224087E-2</v>
      </c>
      <c r="N240" s="3">
        <f t="shared" si="71"/>
        <v>4.7797026039685164E-2</v>
      </c>
      <c r="O240" s="2"/>
      <c r="P240">
        <f t="shared" si="72"/>
        <v>9.1526641792788188E-2</v>
      </c>
      <c r="Q240" s="4">
        <f t="shared" si="73"/>
        <v>5.1250211674935819E-2</v>
      </c>
      <c r="R240" s="4"/>
    </row>
    <row r="241" spans="6:18" x14ac:dyDescent="0.3">
      <c r="F241">
        <f t="shared" si="66"/>
        <v>8.9304056538785703E-2</v>
      </c>
      <c r="H241" s="3">
        <f t="shared" si="67"/>
        <v>-0.2462282760050003</v>
      </c>
      <c r="I241" s="2"/>
      <c r="J241">
        <f t="shared" si="68"/>
        <v>9.1750245646522538E-2</v>
      </c>
      <c r="K241" s="3">
        <f t="shared" si="69"/>
        <v>-0.24836469792471094</v>
      </c>
      <c r="L241" s="2"/>
      <c r="M241">
        <f t="shared" si="70"/>
        <v>8.8533784480224087E-2</v>
      </c>
      <c r="N241" s="3">
        <f t="shared" si="71"/>
        <v>-0.25220297396031488</v>
      </c>
      <c r="O241" s="2"/>
      <c r="P241">
        <f t="shared" si="72"/>
        <v>9.1526641792788188E-2</v>
      </c>
      <c r="Q241" s="4">
        <f t="shared" si="73"/>
        <v>-0.24874978832506422</v>
      </c>
      <c r="R241" s="4"/>
    </row>
    <row r="242" spans="6:18" x14ac:dyDescent="0.3">
      <c r="F242">
        <f t="shared" si="66"/>
        <v>0.17860811307757141</v>
      </c>
      <c r="H242" s="3">
        <f t="shared" si="67"/>
        <v>-2.0486571749675053E-2</v>
      </c>
      <c r="I242" s="2"/>
      <c r="J242">
        <f t="shared" si="68"/>
        <v>0.18350049129304508</v>
      </c>
      <c r="K242" s="3">
        <f t="shared" si="69"/>
        <v>-2.7841499546946147E-2</v>
      </c>
      <c r="L242" s="2"/>
      <c r="M242">
        <f t="shared" si="70"/>
        <v>0.17706756896044817</v>
      </c>
      <c r="N242" s="3">
        <f t="shared" si="71"/>
        <v>-3.8996484630958395E-2</v>
      </c>
      <c r="O242" s="2"/>
      <c r="P242">
        <f t="shared" si="72"/>
        <v>0.18305328358557638</v>
      </c>
      <c r="Q242" s="4">
        <f t="shared" si="73"/>
        <v>-2.8718417020217601E-2</v>
      </c>
      <c r="R242" s="4"/>
    </row>
    <row r="243" spans="6:18" x14ac:dyDescent="0.3">
      <c r="F243">
        <f t="shared" si="66"/>
        <v>0.17860811307757141</v>
      </c>
      <c r="H243" s="3">
        <f t="shared" si="67"/>
        <v>7.9513428250324925E-2</v>
      </c>
      <c r="I243" s="2"/>
      <c r="J243">
        <f t="shared" si="68"/>
        <v>0.18350049129304508</v>
      </c>
      <c r="K243" s="3">
        <f t="shared" si="69"/>
        <v>7.2158500453053831E-2</v>
      </c>
      <c r="L243" s="2"/>
      <c r="M243">
        <f t="shared" si="70"/>
        <v>0.17706756896044817</v>
      </c>
      <c r="N243" s="3">
        <f t="shared" si="71"/>
        <v>6.1003515369041583E-2</v>
      </c>
      <c r="O243" s="2"/>
      <c r="P243">
        <f t="shared" si="72"/>
        <v>0.18305328358557638</v>
      </c>
      <c r="Q243" s="4">
        <f t="shared" si="73"/>
        <v>7.1281582979782376E-2</v>
      </c>
      <c r="R243" s="4"/>
    </row>
    <row r="244" spans="6:18" x14ac:dyDescent="0.3">
      <c r="F244">
        <f t="shared" si="66"/>
        <v>0.17860811307757141</v>
      </c>
      <c r="H244" s="3">
        <f t="shared" si="67"/>
        <v>7.9513428250324925E-2</v>
      </c>
      <c r="I244" s="2"/>
      <c r="J244">
        <f t="shared" si="68"/>
        <v>0.18350049129304508</v>
      </c>
      <c r="K244" s="3">
        <f t="shared" si="69"/>
        <v>7.2158500453053831E-2</v>
      </c>
      <c r="L244" s="2"/>
      <c r="M244">
        <f t="shared" si="70"/>
        <v>0.17706756896044817</v>
      </c>
      <c r="N244" s="3">
        <f t="shared" si="71"/>
        <v>6.1003515369041583E-2</v>
      </c>
      <c r="O244" s="2"/>
      <c r="P244">
        <f t="shared" si="72"/>
        <v>0.18305328358557638</v>
      </c>
      <c r="Q244" s="4">
        <f t="shared" si="73"/>
        <v>7.1281582979782376E-2</v>
      </c>
      <c r="R244" s="4"/>
    </row>
    <row r="245" spans="6:18" x14ac:dyDescent="0.3">
      <c r="F245">
        <f t="shared" si="66"/>
        <v>0.17860811307757141</v>
      </c>
      <c r="H245" s="3">
        <f t="shared" si="67"/>
        <v>7.9513428250324925E-2</v>
      </c>
      <c r="I245" s="2"/>
      <c r="J245">
        <f t="shared" si="68"/>
        <v>0.18350049129304508</v>
      </c>
      <c r="K245" s="3">
        <f t="shared" si="69"/>
        <v>7.2158500453053831E-2</v>
      </c>
      <c r="L245" s="2"/>
      <c r="M245">
        <f t="shared" si="70"/>
        <v>0.17706756896044817</v>
      </c>
      <c r="N245" s="3">
        <f t="shared" si="71"/>
        <v>6.1003515369041583E-2</v>
      </c>
      <c r="O245" s="2"/>
      <c r="P245">
        <f t="shared" si="72"/>
        <v>0.18305328358557638</v>
      </c>
      <c r="Q245" s="4">
        <f t="shared" si="73"/>
        <v>7.1281582979782376E-2</v>
      </c>
      <c r="R245" s="4"/>
    </row>
    <row r="246" spans="6:18" x14ac:dyDescent="0.3">
      <c r="F246">
        <f t="shared" si="66"/>
        <v>0.17860811307757141</v>
      </c>
      <c r="H246" s="3">
        <f t="shared" si="67"/>
        <v>-2.0486571749675053E-2</v>
      </c>
      <c r="I246" s="2"/>
      <c r="J246">
        <f t="shared" si="68"/>
        <v>0.18350049129304508</v>
      </c>
      <c r="K246" s="3">
        <f t="shared" si="69"/>
        <v>-2.7841499546946147E-2</v>
      </c>
      <c r="L246" s="2"/>
      <c r="M246">
        <f t="shared" si="70"/>
        <v>0.17706756896044817</v>
      </c>
      <c r="N246" s="3">
        <f t="shared" si="71"/>
        <v>-3.8996484630958395E-2</v>
      </c>
      <c r="O246" s="2"/>
      <c r="P246">
        <f t="shared" si="72"/>
        <v>0.18305328358557638</v>
      </c>
      <c r="Q246" s="4">
        <f t="shared" si="73"/>
        <v>-2.8718417020217601E-2</v>
      </c>
      <c r="R246" s="4"/>
    </row>
    <row r="247" spans="6:18" x14ac:dyDescent="0.3">
      <c r="F247">
        <f t="shared" si="66"/>
        <v>0.35721622615514281</v>
      </c>
      <c r="H247" s="3">
        <f t="shared" si="67"/>
        <v>-4.845558577015141E-2</v>
      </c>
      <c r="I247" s="2"/>
      <c r="J247">
        <f t="shared" si="68"/>
        <v>0.36700098258609015</v>
      </c>
      <c r="K247" s="3">
        <f t="shared" si="69"/>
        <v>-7.5862244654059774E-2</v>
      </c>
      <c r="L247" s="2"/>
      <c r="M247">
        <f t="shared" si="70"/>
        <v>0.35413513792089635</v>
      </c>
      <c r="N247" s="3">
        <f t="shared" si="71"/>
        <v>-0.10938336162822271</v>
      </c>
      <c r="O247" s="2"/>
      <c r="P247">
        <f t="shared" si="72"/>
        <v>0.36610656717115275</v>
      </c>
      <c r="Q247" s="4">
        <f t="shared" si="73"/>
        <v>-7.6920140201892417E-2</v>
      </c>
      <c r="R247" s="4"/>
    </row>
    <row r="248" spans="6:18" x14ac:dyDescent="0.3">
      <c r="F248">
        <f t="shared" si="66"/>
        <v>0.35721622615514281</v>
      </c>
      <c r="H248" s="3">
        <f t="shared" si="67"/>
        <v>5.1544414229848567E-2</v>
      </c>
      <c r="I248" s="2"/>
      <c r="J248">
        <f t="shared" si="68"/>
        <v>0.36700098258609015</v>
      </c>
      <c r="K248" s="3">
        <f t="shared" si="69"/>
        <v>2.4137755345940204E-2</v>
      </c>
      <c r="L248" s="2"/>
      <c r="M248">
        <f t="shared" si="70"/>
        <v>0.35413513792089635</v>
      </c>
      <c r="N248" s="3">
        <f t="shared" si="71"/>
        <v>-9.3833616282227306E-3</v>
      </c>
      <c r="O248" s="2"/>
      <c r="P248">
        <f t="shared" si="72"/>
        <v>0.36610656717115275</v>
      </c>
      <c r="Q248" s="4">
        <f t="shared" si="73"/>
        <v>2.307985979810756E-2</v>
      </c>
      <c r="R248" s="4"/>
    </row>
    <row r="249" spans="6:18" x14ac:dyDescent="0.3">
      <c r="F249">
        <f t="shared" si="66"/>
        <v>0.35721622615514281</v>
      </c>
      <c r="H249" s="3">
        <f t="shared" si="67"/>
        <v>0.15154441422984855</v>
      </c>
      <c r="I249" s="2"/>
      <c r="J249">
        <f t="shared" si="68"/>
        <v>0.36700098258609015</v>
      </c>
      <c r="K249" s="3">
        <f t="shared" si="69"/>
        <v>0.12413775534594018</v>
      </c>
      <c r="L249" s="2"/>
      <c r="M249">
        <f t="shared" si="70"/>
        <v>0.35413513792089635</v>
      </c>
      <c r="N249" s="3">
        <f t="shared" si="71"/>
        <v>9.0616638371777247E-2</v>
      </c>
      <c r="O249" s="2"/>
      <c r="P249">
        <f t="shared" si="72"/>
        <v>0.36610656717115275</v>
      </c>
      <c r="Q249" s="4">
        <f t="shared" si="73"/>
        <v>0.12307985979810754</v>
      </c>
      <c r="R249" s="4"/>
    </row>
    <row r="250" spans="6:18" x14ac:dyDescent="0.3">
      <c r="F250">
        <f t="shared" si="66"/>
        <v>0.35721622615514281</v>
      </c>
      <c r="H250" s="3">
        <f t="shared" si="67"/>
        <v>0.15154441422984855</v>
      </c>
      <c r="I250" s="2"/>
      <c r="J250">
        <f t="shared" si="68"/>
        <v>0.36700098258609015</v>
      </c>
      <c r="K250" s="3">
        <f t="shared" si="69"/>
        <v>0.12413775534594018</v>
      </c>
      <c r="L250" s="2"/>
      <c r="M250">
        <f t="shared" si="70"/>
        <v>0.35413513792089635</v>
      </c>
      <c r="N250" s="3">
        <f t="shared" si="71"/>
        <v>9.0616638371777247E-2</v>
      </c>
      <c r="O250" s="2"/>
      <c r="P250">
        <f t="shared" si="72"/>
        <v>0.36610656717115275</v>
      </c>
      <c r="Q250" s="4">
        <f t="shared" si="73"/>
        <v>0.12307985979810754</v>
      </c>
      <c r="R250" s="4"/>
    </row>
    <row r="251" spans="6:18" x14ac:dyDescent="0.3">
      <c r="F251">
        <f t="shared" si="66"/>
        <v>0.35721622615514281</v>
      </c>
      <c r="H251" s="3">
        <f t="shared" si="67"/>
        <v>-4.845558577015141E-2</v>
      </c>
      <c r="I251" s="2"/>
      <c r="J251">
        <f t="shared" si="68"/>
        <v>0.36700098258609015</v>
      </c>
      <c r="K251" s="3">
        <f t="shared" si="69"/>
        <v>-7.5862244654059774E-2</v>
      </c>
      <c r="L251" s="2"/>
      <c r="M251">
        <f t="shared" si="70"/>
        <v>0.35413513792089635</v>
      </c>
      <c r="N251" s="3">
        <f t="shared" si="71"/>
        <v>-0.10938336162822271</v>
      </c>
      <c r="O251" s="2"/>
      <c r="P251">
        <f t="shared" si="72"/>
        <v>0.36610656717115275</v>
      </c>
      <c r="Q251" s="4">
        <f t="shared" si="73"/>
        <v>-7.6920140201892417E-2</v>
      </c>
      <c r="R251" s="4"/>
    </row>
    <row r="252" spans="6:18" x14ac:dyDescent="0.3">
      <c r="F252">
        <f t="shared" si="66"/>
        <v>4.2152028269392856E-2</v>
      </c>
      <c r="H252" s="3">
        <f t="shared" si="67"/>
        <v>3.8357791799795926E-2</v>
      </c>
      <c r="I252" s="2"/>
      <c r="J252">
        <f t="shared" si="68"/>
        <v>4.3375122823261274E-2</v>
      </c>
      <c r="K252" s="3">
        <f t="shared" si="69"/>
        <v>3.8304733265771329E-2</v>
      </c>
      <c r="L252" s="2"/>
      <c r="M252">
        <f t="shared" si="70"/>
        <v>4.1766892240112048E-2</v>
      </c>
      <c r="N252" s="3">
        <f t="shared" si="71"/>
        <v>4.0192612630997937E-2</v>
      </c>
      <c r="O252" s="2"/>
      <c r="P252">
        <f t="shared" si="72"/>
        <v>4.3263320896394099E-2</v>
      </c>
      <c r="Q252" s="4">
        <f t="shared" si="73"/>
        <v>3.8391052840987427E-2</v>
      </c>
      <c r="R252" s="4"/>
    </row>
    <row r="253" spans="6:18" x14ac:dyDescent="0.3">
      <c r="F253">
        <f t="shared" si="66"/>
        <v>4.2152028269392856E-2</v>
      </c>
      <c r="H253" s="3">
        <f t="shared" si="67"/>
        <v>3.8357791799795926E-2</v>
      </c>
      <c r="I253" s="2"/>
      <c r="J253">
        <f t="shared" si="68"/>
        <v>4.3375122823261274E-2</v>
      </c>
      <c r="K253" s="3">
        <f t="shared" si="69"/>
        <v>3.8304733265771329E-2</v>
      </c>
      <c r="L253" s="2"/>
      <c r="M253">
        <f t="shared" si="70"/>
        <v>4.1766892240112048E-2</v>
      </c>
      <c r="N253" s="3">
        <f t="shared" si="71"/>
        <v>4.0192612630997937E-2</v>
      </c>
      <c r="O253" s="2"/>
      <c r="P253">
        <f t="shared" si="72"/>
        <v>4.3263320896394099E-2</v>
      </c>
      <c r="Q253" s="4">
        <f t="shared" si="73"/>
        <v>3.8391052840987427E-2</v>
      </c>
      <c r="R253" s="4"/>
    </row>
    <row r="254" spans="6:18" x14ac:dyDescent="0.3">
      <c r="F254">
        <f t="shared" si="66"/>
        <v>4.2152028269392856E-2</v>
      </c>
      <c r="H254" s="3">
        <f t="shared" si="67"/>
        <v>3.8357791799795926E-2</v>
      </c>
      <c r="I254" s="2"/>
      <c r="J254">
        <f t="shared" si="68"/>
        <v>4.3375122823261274E-2</v>
      </c>
      <c r="K254" s="3">
        <f t="shared" si="69"/>
        <v>3.8304733265771329E-2</v>
      </c>
      <c r="L254" s="2"/>
      <c r="M254">
        <f t="shared" si="70"/>
        <v>4.1766892240112048E-2</v>
      </c>
      <c r="N254" s="3">
        <f t="shared" si="71"/>
        <v>4.0192612630997937E-2</v>
      </c>
      <c r="O254" s="2"/>
      <c r="P254">
        <f t="shared" si="72"/>
        <v>4.3263320896394099E-2</v>
      </c>
      <c r="Q254" s="4">
        <f t="shared" si="73"/>
        <v>3.8391052840987427E-2</v>
      </c>
      <c r="R254" s="4"/>
    </row>
    <row r="255" spans="6:18" x14ac:dyDescent="0.3">
      <c r="F255">
        <f t="shared" si="66"/>
        <v>4.2152028269392856E-2</v>
      </c>
      <c r="H255" s="3">
        <f t="shared" si="67"/>
        <v>3.8357791799795926E-2</v>
      </c>
      <c r="I255" s="2"/>
      <c r="J255">
        <f t="shared" si="68"/>
        <v>4.3375122823261274E-2</v>
      </c>
      <c r="K255" s="3">
        <f t="shared" si="69"/>
        <v>3.8304733265771329E-2</v>
      </c>
      <c r="L255" s="2"/>
      <c r="M255">
        <f t="shared" si="70"/>
        <v>4.1766892240112048E-2</v>
      </c>
      <c r="N255" s="3">
        <f t="shared" si="71"/>
        <v>4.0192612630997937E-2</v>
      </c>
      <c r="O255" s="2"/>
      <c r="P255">
        <f t="shared" si="72"/>
        <v>4.3263320896394099E-2</v>
      </c>
      <c r="Q255" s="4">
        <f t="shared" si="73"/>
        <v>3.8391052840987427E-2</v>
      </c>
      <c r="R255" s="4"/>
    </row>
    <row r="256" spans="6:18" x14ac:dyDescent="0.3">
      <c r="F256">
        <f t="shared" si="66"/>
        <v>4.2152028269392856E-2</v>
      </c>
      <c r="H256" s="3">
        <f t="shared" si="67"/>
        <v>3.8357791799795926E-2</v>
      </c>
      <c r="I256" s="2"/>
      <c r="J256">
        <f t="shared" si="68"/>
        <v>4.3375122823261274E-2</v>
      </c>
      <c r="K256" s="3">
        <f t="shared" si="69"/>
        <v>3.8304733265771329E-2</v>
      </c>
      <c r="L256" s="2"/>
      <c r="M256">
        <f t="shared" si="70"/>
        <v>4.1766892240112048E-2</v>
      </c>
      <c r="N256" s="3">
        <f t="shared" si="71"/>
        <v>4.0192612630997937E-2</v>
      </c>
      <c r="O256" s="2"/>
      <c r="P256">
        <f t="shared" si="72"/>
        <v>4.3263320896394099E-2</v>
      </c>
      <c r="Q256" s="4">
        <f t="shared" si="73"/>
        <v>3.8391052840987427E-2</v>
      </c>
      <c r="R256" s="4"/>
    </row>
    <row r="257" spans="6:18" x14ac:dyDescent="0.3">
      <c r="F257">
        <f t="shared" si="66"/>
        <v>8.4304056538785713E-2</v>
      </c>
      <c r="H257" s="3">
        <f t="shared" si="67"/>
        <v>4.3663888494590797E-2</v>
      </c>
      <c r="I257" s="2"/>
      <c r="J257">
        <f t="shared" si="68"/>
        <v>8.6750245646522547E-2</v>
      </c>
      <c r="K257" s="3">
        <f t="shared" si="69"/>
        <v>4.4109450974644915E-2</v>
      </c>
      <c r="L257" s="2"/>
      <c r="M257">
        <f t="shared" si="70"/>
        <v>8.3533784480224096E-2</v>
      </c>
      <c r="N257" s="3">
        <f t="shared" si="71"/>
        <v>4.7092354378074575E-2</v>
      </c>
      <c r="O257" s="2"/>
      <c r="P257">
        <f t="shared" si="72"/>
        <v>8.6526641792788198E-2</v>
      </c>
      <c r="Q257" s="4">
        <f t="shared" si="73"/>
        <v>4.4139646761896856E-2</v>
      </c>
      <c r="R257" s="4"/>
    </row>
    <row r="258" spans="6:18" x14ac:dyDescent="0.3">
      <c r="F258">
        <f t="shared" si="66"/>
        <v>8.4304056538785713E-2</v>
      </c>
      <c r="H258" s="3">
        <f t="shared" si="67"/>
        <v>4.3663888494590797E-2</v>
      </c>
      <c r="I258" s="2"/>
      <c r="J258">
        <f t="shared" si="68"/>
        <v>8.6750245646522547E-2</v>
      </c>
      <c r="K258" s="3">
        <f t="shared" si="69"/>
        <v>4.4109450974644915E-2</v>
      </c>
      <c r="L258" s="2"/>
      <c r="M258">
        <f t="shared" si="70"/>
        <v>8.3533784480224096E-2</v>
      </c>
      <c r="N258" s="3">
        <f t="shared" si="71"/>
        <v>4.7092354378074575E-2</v>
      </c>
      <c r="O258" s="2"/>
      <c r="P258">
        <f t="shared" si="72"/>
        <v>8.6526641792788198E-2</v>
      </c>
      <c r="Q258" s="4">
        <f t="shared" si="73"/>
        <v>4.4139646761896856E-2</v>
      </c>
      <c r="R258" s="4"/>
    </row>
    <row r="259" spans="6:18" x14ac:dyDescent="0.3">
      <c r="F259">
        <f t="shared" si="66"/>
        <v>8.4304056538785713E-2</v>
      </c>
      <c r="H259" s="3">
        <f t="shared" si="67"/>
        <v>4.3663888494590797E-2</v>
      </c>
      <c r="I259" s="2"/>
      <c r="J259">
        <f t="shared" si="68"/>
        <v>8.6750245646522547E-2</v>
      </c>
      <c r="K259" s="3">
        <f t="shared" si="69"/>
        <v>4.4109450974644915E-2</v>
      </c>
      <c r="L259" s="2"/>
      <c r="M259">
        <f t="shared" si="70"/>
        <v>8.3533784480224096E-2</v>
      </c>
      <c r="N259" s="3">
        <f t="shared" si="71"/>
        <v>4.7092354378074575E-2</v>
      </c>
      <c r="O259" s="2"/>
      <c r="P259">
        <f t="shared" si="72"/>
        <v>8.6526641792788198E-2</v>
      </c>
      <c r="Q259" s="4">
        <f t="shared" si="73"/>
        <v>4.4139646761896856E-2</v>
      </c>
      <c r="R259" s="4"/>
    </row>
    <row r="260" spans="6:18" x14ac:dyDescent="0.3">
      <c r="F260">
        <f t="shared" si="66"/>
        <v>8.4304056538785713E-2</v>
      </c>
      <c r="H260" s="3">
        <f t="shared" si="67"/>
        <v>-5.6336111505409181E-2</v>
      </c>
      <c r="I260" s="2"/>
      <c r="J260">
        <f t="shared" si="68"/>
        <v>8.6750245646522547E-2</v>
      </c>
      <c r="K260" s="3">
        <f t="shared" si="69"/>
        <v>-5.5890549025355063E-2</v>
      </c>
      <c r="L260" s="2"/>
      <c r="M260">
        <f t="shared" si="70"/>
        <v>8.3533784480224096E-2</v>
      </c>
      <c r="N260" s="3">
        <f t="shared" si="71"/>
        <v>-5.2907645621925403E-2</v>
      </c>
      <c r="O260" s="2"/>
      <c r="P260">
        <f t="shared" si="72"/>
        <v>8.6526641792788198E-2</v>
      </c>
      <c r="Q260" s="4">
        <f t="shared" si="73"/>
        <v>-5.5860353238103122E-2</v>
      </c>
      <c r="R260" s="4"/>
    </row>
    <row r="261" spans="6:18" x14ac:dyDescent="0.3">
      <c r="F261">
        <f t="shared" si="66"/>
        <v>8.4304056538785713E-2</v>
      </c>
      <c r="H261" s="3">
        <f t="shared" si="67"/>
        <v>-5.6336111505409181E-2</v>
      </c>
      <c r="I261" s="2"/>
      <c r="J261">
        <f t="shared" si="68"/>
        <v>8.6750245646522547E-2</v>
      </c>
      <c r="K261" s="3">
        <f t="shared" si="69"/>
        <v>-5.5890549025355063E-2</v>
      </c>
      <c r="L261" s="2"/>
      <c r="M261">
        <f t="shared" si="70"/>
        <v>8.3533784480224096E-2</v>
      </c>
      <c r="N261" s="3">
        <f t="shared" si="71"/>
        <v>-5.2907645621925403E-2</v>
      </c>
      <c r="O261" s="2"/>
      <c r="P261">
        <f t="shared" si="72"/>
        <v>8.6526641792788198E-2</v>
      </c>
      <c r="Q261" s="4">
        <f t="shared" si="73"/>
        <v>-5.5860353238103122E-2</v>
      </c>
      <c r="R261" s="4"/>
    </row>
    <row r="262" spans="6:18" x14ac:dyDescent="0.3">
      <c r="F262">
        <f t="shared" si="66"/>
        <v>0.16860811307757143</v>
      </c>
      <c r="H262" s="3">
        <f t="shared" si="67"/>
        <v>5.9409532596262915E-2</v>
      </c>
      <c r="I262" s="2"/>
      <c r="J262">
        <f t="shared" si="68"/>
        <v>0.17350049129304509</v>
      </c>
      <c r="K262" s="3">
        <f t="shared" si="69"/>
        <v>5.9915401918047451E-2</v>
      </c>
      <c r="L262" s="2"/>
      <c r="M262">
        <f t="shared" si="70"/>
        <v>0.16706756896044819</v>
      </c>
      <c r="N262" s="3">
        <f t="shared" si="71"/>
        <v>6.5076838418727467E-2</v>
      </c>
      <c r="O262" s="2"/>
      <c r="P262">
        <f t="shared" si="72"/>
        <v>0.1730532835855764</v>
      </c>
      <c r="Q262" s="4">
        <f t="shared" si="73"/>
        <v>5.9742300508945023E-2</v>
      </c>
      <c r="R262" s="4"/>
    </row>
    <row r="263" spans="6:18" x14ac:dyDescent="0.3">
      <c r="F263">
        <f t="shared" si="66"/>
        <v>0.16860811307757143</v>
      </c>
      <c r="H263" s="3">
        <f t="shared" si="67"/>
        <v>-0.14059046740373704</v>
      </c>
      <c r="I263" s="2"/>
      <c r="J263">
        <f t="shared" si="68"/>
        <v>0.17350049129304509</v>
      </c>
      <c r="K263" s="3">
        <f t="shared" si="69"/>
        <v>-0.1400845980819525</v>
      </c>
      <c r="L263" s="2"/>
      <c r="M263">
        <f t="shared" si="70"/>
        <v>0.16706756896044819</v>
      </c>
      <c r="N263" s="3">
        <f t="shared" si="71"/>
        <v>-0.13492316158127249</v>
      </c>
      <c r="O263" s="2"/>
      <c r="P263">
        <f t="shared" si="72"/>
        <v>0.1730532835855764</v>
      </c>
      <c r="Q263" s="4">
        <f t="shared" si="73"/>
        <v>-0.14025769949105493</v>
      </c>
      <c r="R263" s="4"/>
    </row>
    <row r="264" spans="6:18" x14ac:dyDescent="0.3">
      <c r="F264">
        <f t="shared" si="66"/>
        <v>0.16860811307757143</v>
      </c>
      <c r="H264" s="3">
        <f t="shared" si="67"/>
        <v>-0.14059046740373704</v>
      </c>
      <c r="I264" s="2"/>
      <c r="J264">
        <f t="shared" si="68"/>
        <v>0.17350049129304509</v>
      </c>
      <c r="K264" s="3">
        <f t="shared" si="69"/>
        <v>-0.1400845980819525</v>
      </c>
      <c r="L264" s="2"/>
      <c r="M264">
        <f t="shared" si="70"/>
        <v>0.16706756896044819</v>
      </c>
      <c r="N264" s="3">
        <f t="shared" si="71"/>
        <v>-0.13492316158127249</v>
      </c>
      <c r="O264" s="2"/>
      <c r="P264">
        <f t="shared" si="72"/>
        <v>0.1730532835855764</v>
      </c>
      <c r="Q264" s="4">
        <f t="shared" si="73"/>
        <v>-0.14025769949105493</v>
      </c>
      <c r="R264" s="4"/>
    </row>
    <row r="265" spans="6:18" x14ac:dyDescent="0.3">
      <c r="F265">
        <f t="shared" si="66"/>
        <v>0.16860811307757143</v>
      </c>
      <c r="H265" s="3">
        <f t="shared" si="67"/>
        <v>5.9409532596262915E-2</v>
      </c>
      <c r="I265" s="2"/>
      <c r="J265">
        <f t="shared" si="68"/>
        <v>0.17350049129304509</v>
      </c>
      <c r="K265" s="3">
        <f t="shared" si="69"/>
        <v>5.9915401918047451E-2</v>
      </c>
      <c r="L265" s="2"/>
      <c r="M265">
        <f t="shared" si="70"/>
        <v>0.16706756896044819</v>
      </c>
      <c r="N265" s="3">
        <f t="shared" si="71"/>
        <v>6.5076838418727467E-2</v>
      </c>
      <c r="O265" s="2"/>
      <c r="P265">
        <f t="shared" si="72"/>
        <v>0.1730532835855764</v>
      </c>
      <c r="Q265" s="4">
        <f t="shared" si="73"/>
        <v>5.9742300508945023E-2</v>
      </c>
      <c r="R265" s="4"/>
    </row>
    <row r="266" spans="6:18" x14ac:dyDescent="0.3">
      <c r="F266">
        <f t="shared" si="66"/>
        <v>0.16860811307757143</v>
      </c>
      <c r="H266" s="3">
        <f t="shared" si="67"/>
        <v>5.9409532596262915E-2</v>
      </c>
      <c r="I266" s="2"/>
      <c r="J266">
        <f t="shared" si="68"/>
        <v>0.17350049129304509</v>
      </c>
      <c r="K266" s="3">
        <f t="shared" si="69"/>
        <v>5.9915401918047451E-2</v>
      </c>
      <c r="L266" s="2"/>
      <c r="M266">
        <f t="shared" si="70"/>
        <v>0.16706756896044819</v>
      </c>
      <c r="N266" s="3">
        <f t="shared" si="71"/>
        <v>6.5076838418727467E-2</v>
      </c>
      <c r="O266" s="2"/>
      <c r="P266">
        <f t="shared" si="72"/>
        <v>0.1730532835855764</v>
      </c>
      <c r="Q266" s="4">
        <f t="shared" si="73"/>
        <v>5.9742300508945023E-2</v>
      </c>
      <c r="R266" s="4"/>
    </row>
    <row r="267" spans="6:18" x14ac:dyDescent="0.3">
      <c r="F267">
        <f t="shared" si="66"/>
        <v>0.33721622615514285</v>
      </c>
      <c r="H267" s="3">
        <f t="shared" si="67"/>
        <v>0.11502523637395212</v>
      </c>
      <c r="I267" s="2"/>
      <c r="J267">
        <f t="shared" si="68"/>
        <v>0.34700098258609019</v>
      </c>
      <c r="K267" s="3">
        <f t="shared" si="69"/>
        <v>0.11127392989859008</v>
      </c>
      <c r="L267" s="2"/>
      <c r="M267">
        <f t="shared" si="70"/>
        <v>0.33413513792089639</v>
      </c>
      <c r="N267" s="3">
        <f t="shared" si="71"/>
        <v>0.12217136690162245</v>
      </c>
      <c r="O267" s="2"/>
      <c r="P267">
        <f t="shared" si="72"/>
        <v>0.34610656717115279</v>
      </c>
      <c r="Q267" s="4">
        <f t="shared" si="73"/>
        <v>0.11069976059099851</v>
      </c>
      <c r="R267" s="4"/>
    </row>
    <row r="268" spans="6:18" x14ac:dyDescent="0.3">
      <c r="F268">
        <f t="shared" si="66"/>
        <v>0.33721622615514285</v>
      </c>
      <c r="H268" s="3">
        <f t="shared" si="67"/>
        <v>1.5025236373952144E-2</v>
      </c>
      <c r="I268" s="2"/>
      <c r="J268">
        <f t="shared" si="68"/>
        <v>0.34700098258609019</v>
      </c>
      <c r="K268" s="3">
        <f t="shared" si="69"/>
        <v>1.1273929898590107E-2</v>
      </c>
      <c r="L268" s="2"/>
      <c r="M268">
        <f t="shared" si="70"/>
        <v>0.33413513792089639</v>
      </c>
      <c r="N268" s="3">
        <f t="shared" si="71"/>
        <v>2.2171366901622469E-2</v>
      </c>
      <c r="O268" s="2"/>
      <c r="P268">
        <f t="shared" si="72"/>
        <v>0.34610656717115279</v>
      </c>
      <c r="Q268" s="4">
        <f t="shared" si="73"/>
        <v>1.069976059099853E-2</v>
      </c>
      <c r="R268" s="4"/>
    </row>
    <row r="269" spans="6:18" x14ac:dyDescent="0.3">
      <c r="F269">
        <f t="shared" si="66"/>
        <v>0.33721622615514285</v>
      </c>
      <c r="H269" s="3">
        <f t="shared" si="67"/>
        <v>-0.2849747636260479</v>
      </c>
      <c r="I269" s="2"/>
      <c r="J269">
        <f t="shared" si="68"/>
        <v>0.34700098258609019</v>
      </c>
      <c r="K269" s="3">
        <f t="shared" si="69"/>
        <v>-0.28872607010140994</v>
      </c>
      <c r="L269" s="2"/>
      <c r="M269">
        <f t="shared" si="70"/>
        <v>0.33413513792089639</v>
      </c>
      <c r="N269" s="3">
        <f t="shared" si="71"/>
        <v>-0.27782863309837758</v>
      </c>
      <c r="O269" s="2"/>
      <c r="P269">
        <f t="shared" si="72"/>
        <v>0.34610656717115279</v>
      </c>
      <c r="Q269" s="4">
        <f t="shared" si="73"/>
        <v>-0.28930023940900151</v>
      </c>
      <c r="R269" s="4"/>
    </row>
    <row r="270" spans="6:18" x14ac:dyDescent="0.3">
      <c r="F270">
        <f t="shared" si="66"/>
        <v>0.33721622615514285</v>
      </c>
      <c r="H270" s="3">
        <f t="shared" si="67"/>
        <v>1.5025236373952144E-2</v>
      </c>
      <c r="I270" s="2"/>
      <c r="J270">
        <f t="shared" si="68"/>
        <v>0.34700098258609019</v>
      </c>
      <c r="K270" s="3">
        <f t="shared" si="69"/>
        <v>1.1273929898590107E-2</v>
      </c>
      <c r="L270" s="2"/>
      <c r="M270">
        <f t="shared" si="70"/>
        <v>0.33413513792089639</v>
      </c>
      <c r="N270" s="3">
        <f t="shared" si="71"/>
        <v>2.2171366901622469E-2</v>
      </c>
      <c r="O270" s="2"/>
      <c r="P270">
        <f t="shared" si="72"/>
        <v>0.34610656717115279</v>
      </c>
      <c r="Q270" s="4">
        <f t="shared" si="73"/>
        <v>1.069976059099853E-2</v>
      </c>
      <c r="R270" s="4"/>
    </row>
    <row r="271" spans="6:18" x14ac:dyDescent="0.3">
      <c r="F271">
        <f t="shared" si="66"/>
        <v>0.33721622615514285</v>
      </c>
      <c r="H271" s="3">
        <f t="shared" si="67"/>
        <v>-8.4974763626047833E-2</v>
      </c>
      <c r="I271" s="2"/>
      <c r="J271">
        <f t="shared" si="68"/>
        <v>0.34700098258609019</v>
      </c>
      <c r="K271" s="3">
        <f t="shared" si="69"/>
        <v>-8.8726070101409871E-2</v>
      </c>
      <c r="L271" s="2"/>
      <c r="M271">
        <f t="shared" si="70"/>
        <v>0.33413513792089639</v>
      </c>
      <c r="N271" s="3">
        <f t="shared" si="71"/>
        <v>-7.7828633098377509E-2</v>
      </c>
      <c r="O271" s="2"/>
      <c r="P271">
        <f t="shared" si="72"/>
        <v>0.34610656717115279</v>
      </c>
      <c r="Q271" s="4">
        <f t="shared" si="73"/>
        <v>-8.9300239409001447E-2</v>
      </c>
      <c r="R271" s="4"/>
    </row>
    <row r="272" spans="6:18" x14ac:dyDescent="0.3">
      <c r="F272">
        <f t="shared" si="66"/>
        <v>0.6744324523102857</v>
      </c>
      <c r="H272" s="3">
        <f t="shared" si="67"/>
        <v>0.20790857654542616</v>
      </c>
      <c r="I272" s="2"/>
      <c r="J272">
        <f t="shared" si="68"/>
        <v>0.69400196517218038</v>
      </c>
      <c r="K272" s="3">
        <f t="shared" si="69"/>
        <v>0.1827499804213556</v>
      </c>
      <c r="L272" s="2"/>
      <c r="M272">
        <f t="shared" si="70"/>
        <v>0.66827027584179277</v>
      </c>
      <c r="N272" s="3">
        <f t="shared" si="71"/>
        <v>0.21256798752377792</v>
      </c>
      <c r="O272" s="2"/>
      <c r="P272">
        <f t="shared" si="72"/>
        <v>0.69221313434230558</v>
      </c>
      <c r="Q272" s="4">
        <f t="shared" si="73"/>
        <v>0.18465892751561286</v>
      </c>
      <c r="R272" s="4"/>
    </row>
    <row r="273" spans="6:18" x14ac:dyDescent="0.3">
      <c r="F273">
        <f t="shared" si="66"/>
        <v>0.6744324523102857</v>
      </c>
      <c r="H273" s="3">
        <f t="shared" si="67"/>
        <v>0.30790857654542614</v>
      </c>
      <c r="I273" s="2"/>
      <c r="J273">
        <f t="shared" si="68"/>
        <v>0.69400196517218038</v>
      </c>
      <c r="K273" s="3">
        <f t="shared" si="69"/>
        <v>0.28274998042135557</v>
      </c>
      <c r="L273" s="2"/>
      <c r="M273">
        <f t="shared" si="70"/>
        <v>0.66827027584179277</v>
      </c>
      <c r="N273" s="3">
        <f t="shared" si="71"/>
        <v>0.3125679875237779</v>
      </c>
      <c r="O273" s="2"/>
      <c r="P273">
        <f t="shared" si="72"/>
        <v>0.69221313434230558</v>
      </c>
      <c r="Q273" s="4">
        <f t="shared" si="73"/>
        <v>0.28465892751561284</v>
      </c>
      <c r="R273" s="4"/>
    </row>
    <row r="274" spans="6:18" x14ac:dyDescent="0.3">
      <c r="F274">
        <f t="shared" si="66"/>
        <v>0.6744324523102857</v>
      </c>
      <c r="H274" s="3">
        <f t="shared" si="67"/>
        <v>7.9085765454260937E-3</v>
      </c>
      <c r="I274" s="2"/>
      <c r="J274">
        <f t="shared" si="68"/>
        <v>0.69400196517218038</v>
      </c>
      <c r="K274" s="3">
        <f t="shared" si="69"/>
        <v>-1.7250019578644471E-2</v>
      </c>
      <c r="L274" s="2"/>
      <c r="M274">
        <f t="shared" si="70"/>
        <v>0.66827027584179277</v>
      </c>
      <c r="N274" s="3">
        <f t="shared" si="71"/>
        <v>1.2567987523777857E-2</v>
      </c>
      <c r="O274" s="2"/>
      <c r="P274">
        <f t="shared" si="72"/>
        <v>0.69221313434230558</v>
      </c>
      <c r="Q274" s="4">
        <f t="shared" si="73"/>
        <v>-1.5341072484387208E-2</v>
      </c>
      <c r="R274" s="4"/>
    </row>
    <row r="275" spans="6:18" x14ac:dyDescent="0.3">
      <c r="F275">
        <f t="shared" si="66"/>
        <v>0.6744324523102857</v>
      </c>
      <c r="H275" s="3">
        <f t="shared" si="67"/>
        <v>-9.2091423454573884E-2</v>
      </c>
      <c r="I275" s="2"/>
      <c r="J275">
        <f t="shared" si="68"/>
        <v>0.69400196517218038</v>
      </c>
      <c r="K275" s="3">
        <f t="shared" si="69"/>
        <v>-0.11725001957864445</v>
      </c>
      <c r="L275" s="2"/>
      <c r="M275">
        <f t="shared" si="70"/>
        <v>0.66827027584179277</v>
      </c>
      <c r="N275" s="3">
        <f t="shared" si="71"/>
        <v>-8.7432012476222121E-2</v>
      </c>
      <c r="O275" s="2"/>
      <c r="P275">
        <f t="shared" si="72"/>
        <v>0.69221313434230558</v>
      </c>
      <c r="Q275" s="4">
        <f t="shared" si="73"/>
        <v>-0.11534107248438719</v>
      </c>
      <c r="R275" s="4"/>
    </row>
    <row r="276" spans="6:18" x14ac:dyDescent="0.3">
      <c r="F276">
        <f t="shared" si="66"/>
        <v>0.6744324523102857</v>
      </c>
      <c r="H276" s="3">
        <f t="shared" si="67"/>
        <v>0.20790857654542616</v>
      </c>
      <c r="I276" s="2"/>
      <c r="J276">
        <f t="shared" si="68"/>
        <v>0.69400196517218038</v>
      </c>
      <c r="K276" s="3">
        <f t="shared" si="69"/>
        <v>0.1827499804213556</v>
      </c>
      <c r="L276" s="2"/>
      <c r="M276">
        <f t="shared" si="70"/>
        <v>0.66827027584179277</v>
      </c>
      <c r="N276" s="3">
        <f t="shared" si="71"/>
        <v>0.21256798752377792</v>
      </c>
      <c r="O276" s="2"/>
      <c r="P276">
        <f t="shared" si="72"/>
        <v>0.69221313434230558</v>
      </c>
      <c r="Q276" s="4">
        <f t="shared" si="73"/>
        <v>0.18465892751561286</v>
      </c>
      <c r="R276" s="4"/>
    </row>
    <row r="277" spans="6:18" x14ac:dyDescent="0.3">
      <c r="F277">
        <f t="shared" si="66"/>
        <v>6.1978042404089287E-2</v>
      </c>
      <c r="H277" s="3">
        <f t="shared" si="67"/>
        <v>-0.16238516358687827</v>
      </c>
      <c r="I277" s="2"/>
      <c r="J277">
        <f t="shared" si="68"/>
        <v>6.381268423489192E-2</v>
      </c>
      <c r="K277" s="3">
        <f t="shared" si="69"/>
        <v>-0.16237633445849164</v>
      </c>
      <c r="L277" s="2"/>
      <c r="M277">
        <f t="shared" si="70"/>
        <v>6.1400338360168075E-2</v>
      </c>
      <c r="N277" s="3">
        <f t="shared" si="71"/>
        <v>-0.1612018729974245</v>
      </c>
      <c r="O277" s="2"/>
      <c r="P277">
        <f t="shared" si="72"/>
        <v>6.3644981344591151E-2</v>
      </c>
      <c r="Q277" s="4">
        <f t="shared" si="73"/>
        <v>-0.16226418210647298</v>
      </c>
      <c r="R277" s="4"/>
    </row>
    <row r="278" spans="6:18" x14ac:dyDescent="0.3">
      <c r="F278">
        <f t="shared" si="66"/>
        <v>6.1978042404089287E-2</v>
      </c>
      <c r="H278" s="3">
        <f t="shared" si="67"/>
        <v>-0.36238516358687833</v>
      </c>
      <c r="I278" s="2"/>
      <c r="J278">
        <f t="shared" si="68"/>
        <v>6.381268423489192E-2</v>
      </c>
      <c r="K278" s="3">
        <f t="shared" si="69"/>
        <v>-0.36237633445849171</v>
      </c>
      <c r="L278" s="2"/>
      <c r="M278">
        <f t="shared" si="70"/>
        <v>6.1400338360168075E-2</v>
      </c>
      <c r="N278" s="3">
        <f t="shared" si="71"/>
        <v>-0.36120187299742457</v>
      </c>
      <c r="O278" s="2"/>
      <c r="P278">
        <f t="shared" si="72"/>
        <v>6.3644981344591151E-2</v>
      </c>
      <c r="Q278" s="4">
        <f t="shared" si="73"/>
        <v>-0.36226418210647304</v>
      </c>
      <c r="R278" s="4"/>
    </row>
    <row r="279" spans="6:18" x14ac:dyDescent="0.3">
      <c r="F279">
        <f t="shared" si="66"/>
        <v>6.1978042404089287E-2</v>
      </c>
      <c r="H279" s="3">
        <f t="shared" si="67"/>
        <v>3.7614836413121688E-2</v>
      </c>
      <c r="I279" s="2"/>
      <c r="J279">
        <f t="shared" si="68"/>
        <v>6.381268423489192E-2</v>
      </c>
      <c r="K279" s="3">
        <f t="shared" si="69"/>
        <v>3.7623665541508311E-2</v>
      </c>
      <c r="L279" s="2"/>
      <c r="M279">
        <f t="shared" si="70"/>
        <v>6.1400338360168075E-2</v>
      </c>
      <c r="N279" s="3">
        <f t="shared" si="71"/>
        <v>3.8798127002575455E-2</v>
      </c>
      <c r="O279" s="2"/>
      <c r="P279">
        <f t="shared" si="72"/>
        <v>6.3644981344591151E-2</v>
      </c>
      <c r="Q279" s="4">
        <f t="shared" si="73"/>
        <v>3.7735817893526979E-2</v>
      </c>
      <c r="R279" s="4"/>
    </row>
    <row r="280" spans="6:18" x14ac:dyDescent="0.3">
      <c r="F280">
        <f t="shared" si="66"/>
        <v>6.1978042404089287E-2</v>
      </c>
      <c r="H280" s="3">
        <f t="shared" si="67"/>
        <v>3.7614836413121688E-2</v>
      </c>
      <c r="I280" s="2"/>
      <c r="J280">
        <f t="shared" si="68"/>
        <v>6.381268423489192E-2</v>
      </c>
      <c r="K280" s="3">
        <f t="shared" si="69"/>
        <v>3.7623665541508311E-2</v>
      </c>
      <c r="L280" s="2"/>
      <c r="M280">
        <f t="shared" si="70"/>
        <v>6.1400338360168075E-2</v>
      </c>
      <c r="N280" s="3">
        <f t="shared" si="71"/>
        <v>3.8798127002575455E-2</v>
      </c>
      <c r="O280" s="2"/>
      <c r="P280">
        <f t="shared" si="72"/>
        <v>6.3644981344591151E-2</v>
      </c>
      <c r="Q280" s="4">
        <f t="shared" si="73"/>
        <v>3.7735817893526979E-2</v>
      </c>
      <c r="R280" s="4"/>
    </row>
    <row r="281" spans="6:18" x14ac:dyDescent="0.3">
      <c r="F281">
        <f t="shared" si="66"/>
        <v>6.1978042404089287E-2</v>
      </c>
      <c r="H281" s="3">
        <f t="shared" si="67"/>
        <v>3.7614836413121688E-2</v>
      </c>
      <c r="I281" s="2"/>
      <c r="J281">
        <f t="shared" si="68"/>
        <v>6.381268423489192E-2</v>
      </c>
      <c r="K281" s="3">
        <f t="shared" si="69"/>
        <v>3.7623665541508311E-2</v>
      </c>
      <c r="L281" s="2"/>
      <c r="M281">
        <f t="shared" si="70"/>
        <v>6.1400338360168075E-2</v>
      </c>
      <c r="N281" s="3">
        <f t="shared" si="71"/>
        <v>3.8798127002575455E-2</v>
      </c>
      <c r="O281" s="2"/>
      <c r="P281">
        <f t="shared" si="72"/>
        <v>6.3644981344591151E-2</v>
      </c>
      <c r="Q281" s="4">
        <f t="shared" si="73"/>
        <v>3.7735817893526979E-2</v>
      </c>
      <c r="R281" s="4"/>
    </row>
    <row r="282" spans="6:18" x14ac:dyDescent="0.3">
      <c r="F282">
        <f t="shared" si="66"/>
        <v>0.12395608480817857</v>
      </c>
      <c r="H282" s="3">
        <f t="shared" si="67"/>
        <v>4.4011556280303177E-2</v>
      </c>
      <c r="I282" s="2"/>
      <c r="J282">
        <f t="shared" si="68"/>
        <v>0.12762536846978384</v>
      </c>
      <c r="K282" s="3">
        <f t="shared" si="69"/>
        <v>4.5084058163866958E-2</v>
      </c>
      <c r="L282" s="2"/>
      <c r="M282">
        <f t="shared" si="70"/>
        <v>0.12280067672033615</v>
      </c>
      <c r="N282" s="3">
        <f t="shared" si="71"/>
        <v>4.6551247687486308E-2</v>
      </c>
      <c r="O282" s="2"/>
      <c r="P282">
        <f t="shared" si="72"/>
        <v>0.1272899626891823</v>
      </c>
      <c r="Q282" s="4">
        <f t="shared" si="73"/>
        <v>4.5155693162463484E-2</v>
      </c>
      <c r="R282" s="4"/>
    </row>
    <row r="283" spans="6:18" x14ac:dyDescent="0.3">
      <c r="F283">
        <f t="shared" si="66"/>
        <v>0.12395608480817857</v>
      </c>
      <c r="H283" s="3">
        <f t="shared" si="67"/>
        <v>4.4011556280303177E-2</v>
      </c>
      <c r="I283" s="2"/>
      <c r="J283">
        <f t="shared" si="68"/>
        <v>0.12762536846978384</v>
      </c>
      <c r="K283" s="3">
        <f t="shared" si="69"/>
        <v>4.5084058163866958E-2</v>
      </c>
      <c r="L283" s="2"/>
      <c r="M283">
        <f t="shared" si="70"/>
        <v>0.12280067672033615</v>
      </c>
      <c r="N283" s="3">
        <f t="shared" si="71"/>
        <v>4.6551247687486308E-2</v>
      </c>
      <c r="O283" s="2"/>
      <c r="P283">
        <f t="shared" si="72"/>
        <v>0.1272899626891823</v>
      </c>
      <c r="Q283" s="4">
        <f t="shared" si="73"/>
        <v>4.5155693162463484E-2</v>
      </c>
      <c r="R283" s="4"/>
    </row>
    <row r="284" spans="6:18" x14ac:dyDescent="0.3">
      <c r="F284">
        <f t="shared" si="66"/>
        <v>0.12395608480817857</v>
      </c>
      <c r="H284" s="3">
        <f t="shared" si="67"/>
        <v>4.4011556280303177E-2</v>
      </c>
      <c r="I284" s="2"/>
      <c r="J284">
        <f t="shared" si="68"/>
        <v>0.12762536846978384</v>
      </c>
      <c r="K284" s="3">
        <f t="shared" si="69"/>
        <v>4.5084058163866958E-2</v>
      </c>
      <c r="L284" s="2"/>
      <c r="M284">
        <f t="shared" si="70"/>
        <v>0.12280067672033615</v>
      </c>
      <c r="N284" s="3">
        <f t="shared" si="71"/>
        <v>4.6551247687486308E-2</v>
      </c>
      <c r="O284" s="2"/>
      <c r="P284">
        <f t="shared" si="72"/>
        <v>0.1272899626891823</v>
      </c>
      <c r="Q284" s="4">
        <f t="shared" si="73"/>
        <v>4.5155693162463484E-2</v>
      </c>
    </row>
    <row r="285" spans="6:18" x14ac:dyDescent="0.3">
      <c r="F285">
        <f t="shared" si="66"/>
        <v>0.12395608480817857</v>
      </c>
      <c r="H285" s="3">
        <f t="shared" si="67"/>
        <v>4.4011556280303177E-2</v>
      </c>
      <c r="I285" s="2"/>
      <c r="J285">
        <f t="shared" si="68"/>
        <v>0.12762536846978384</v>
      </c>
      <c r="K285" s="3">
        <f t="shared" si="69"/>
        <v>4.5084058163866958E-2</v>
      </c>
      <c r="L285" s="2"/>
      <c r="M285">
        <f t="shared" si="70"/>
        <v>0.12280067672033615</v>
      </c>
      <c r="N285" s="3">
        <f t="shared" si="71"/>
        <v>4.6551247687486308E-2</v>
      </c>
      <c r="O285" s="2"/>
      <c r="P285">
        <f t="shared" si="72"/>
        <v>0.1272899626891823</v>
      </c>
      <c r="Q285" s="4">
        <f t="shared" si="73"/>
        <v>4.5155693162463484E-2</v>
      </c>
    </row>
    <row r="286" spans="6:18" x14ac:dyDescent="0.3">
      <c r="F286">
        <f t="shared" si="66"/>
        <v>0.12395608480817857</v>
      </c>
      <c r="H286" s="3">
        <f t="shared" si="67"/>
        <v>4.4011556280303177E-2</v>
      </c>
      <c r="I286" s="2"/>
      <c r="J286">
        <f t="shared" si="68"/>
        <v>0.12762536846978384</v>
      </c>
      <c r="K286" s="3">
        <f t="shared" si="69"/>
        <v>4.5084058163866958E-2</v>
      </c>
      <c r="L286" s="2"/>
      <c r="M286">
        <f t="shared" si="70"/>
        <v>0.12280067672033615</v>
      </c>
      <c r="N286" s="3">
        <f t="shared" si="71"/>
        <v>4.6551247687486308E-2</v>
      </c>
      <c r="O286" s="2"/>
      <c r="P286">
        <f t="shared" si="72"/>
        <v>0.1272899626891823</v>
      </c>
      <c r="Q286" s="4">
        <f t="shared" si="73"/>
        <v>4.5155693162463484E-2</v>
      </c>
    </row>
    <row r="287" spans="6:18" x14ac:dyDescent="0.3">
      <c r="F287">
        <f t="shared" si="66"/>
        <v>0.24791216961635715</v>
      </c>
      <c r="H287" s="3">
        <f t="shared" si="67"/>
        <v>-0.12980063022824706</v>
      </c>
      <c r="I287" s="2"/>
      <c r="J287">
        <f t="shared" si="68"/>
        <v>0.25525073693956768</v>
      </c>
      <c r="K287" s="3">
        <f t="shared" si="69"/>
        <v>-0.12653868699253934</v>
      </c>
      <c r="L287" s="2"/>
      <c r="M287">
        <f t="shared" si="70"/>
        <v>0.2456013534406723</v>
      </c>
      <c r="N287" s="3">
        <f t="shared" si="71"/>
        <v>-0.12496239200320658</v>
      </c>
      <c r="O287" s="2"/>
      <c r="P287">
        <f t="shared" si="72"/>
        <v>0.2545799253783646</v>
      </c>
      <c r="Q287" s="4">
        <f t="shared" si="73"/>
        <v>-0.12669664403148384</v>
      </c>
    </row>
    <row r="288" spans="6:18" x14ac:dyDescent="0.3">
      <c r="F288">
        <f t="shared" si="66"/>
        <v>0.24791216961635715</v>
      </c>
      <c r="H288" s="3">
        <f t="shared" si="67"/>
        <v>-2.9800630228247083E-2</v>
      </c>
      <c r="I288" s="2"/>
      <c r="J288">
        <f t="shared" si="68"/>
        <v>0.25525073693956768</v>
      </c>
      <c r="K288" s="3">
        <f t="shared" si="69"/>
        <v>-2.6538686992539362E-2</v>
      </c>
      <c r="L288" s="2"/>
      <c r="M288">
        <f t="shared" si="70"/>
        <v>0.2456013534406723</v>
      </c>
      <c r="N288" s="3">
        <f t="shared" si="71"/>
        <v>-2.4962392003206602E-2</v>
      </c>
      <c r="O288" s="2"/>
      <c r="P288">
        <f t="shared" si="72"/>
        <v>0.2545799253783646</v>
      </c>
      <c r="Q288" s="4">
        <f t="shared" si="73"/>
        <v>-2.6696644031483863E-2</v>
      </c>
    </row>
    <row r="289" spans="6:17" x14ac:dyDescent="0.3">
      <c r="F289">
        <f t="shared" si="66"/>
        <v>0.24791216961635715</v>
      </c>
      <c r="H289" s="3">
        <f t="shared" si="67"/>
        <v>7.0199369771752895E-2</v>
      </c>
      <c r="I289" s="2"/>
      <c r="J289">
        <f t="shared" si="68"/>
        <v>0.25525073693956768</v>
      </c>
      <c r="K289" s="3">
        <f t="shared" si="69"/>
        <v>7.3461313007460616E-2</v>
      </c>
      <c r="L289" s="2"/>
      <c r="M289">
        <f t="shared" si="70"/>
        <v>0.2456013534406723</v>
      </c>
      <c r="N289" s="3">
        <f t="shared" si="71"/>
        <v>7.5037607996793376E-2</v>
      </c>
      <c r="O289" s="2"/>
      <c r="P289">
        <f t="shared" si="72"/>
        <v>0.2545799253783646</v>
      </c>
      <c r="Q289" s="4">
        <f t="shared" si="73"/>
        <v>7.3303355968516115E-2</v>
      </c>
    </row>
    <row r="290" spans="6:17" x14ac:dyDescent="0.3">
      <c r="F290">
        <f t="shared" si="66"/>
        <v>0.24791216961635715</v>
      </c>
      <c r="H290" s="3">
        <f t="shared" si="67"/>
        <v>7.0199369771752895E-2</v>
      </c>
      <c r="I290" s="2"/>
      <c r="J290">
        <f t="shared" si="68"/>
        <v>0.25525073693956768</v>
      </c>
      <c r="K290" s="3">
        <f t="shared" si="69"/>
        <v>7.3461313007460616E-2</v>
      </c>
      <c r="L290" s="2"/>
      <c r="M290">
        <f t="shared" si="70"/>
        <v>0.2456013534406723</v>
      </c>
      <c r="N290" s="3">
        <f t="shared" si="71"/>
        <v>7.5037607996793376E-2</v>
      </c>
      <c r="O290" s="2"/>
      <c r="P290">
        <f t="shared" si="72"/>
        <v>0.2545799253783646</v>
      </c>
      <c r="Q290" s="4">
        <f t="shared" si="73"/>
        <v>7.3303355968516115E-2</v>
      </c>
    </row>
    <row r="291" spans="6:17" x14ac:dyDescent="0.3">
      <c r="F291">
        <f t="shared" si="66"/>
        <v>0.24791216961635715</v>
      </c>
      <c r="H291" s="3">
        <f t="shared" si="67"/>
        <v>7.0199369771752895E-2</v>
      </c>
      <c r="I291" s="2"/>
      <c r="J291">
        <f t="shared" si="68"/>
        <v>0.25525073693956768</v>
      </c>
      <c r="K291" s="3">
        <f t="shared" si="69"/>
        <v>7.3461313007460616E-2</v>
      </c>
      <c r="L291" s="2"/>
      <c r="M291">
        <f t="shared" si="70"/>
        <v>0.2456013534406723</v>
      </c>
      <c r="N291" s="3">
        <f t="shared" si="71"/>
        <v>7.5037607996793376E-2</v>
      </c>
      <c r="O291" s="2"/>
      <c r="P291">
        <f t="shared" si="72"/>
        <v>0.2545799253783646</v>
      </c>
      <c r="Q291" s="4">
        <f t="shared" si="73"/>
        <v>7.3303355968516115E-2</v>
      </c>
    </row>
    <row r="292" spans="6:17" x14ac:dyDescent="0.3">
      <c r="F292">
        <f t="shared" ref="F292:F316" si="74">(A200/$F$5)+(B200/$F$6)</f>
        <v>0.4958243392327143</v>
      </c>
      <c r="H292" s="3">
        <f t="shared" ref="H292:H316" si="75">E200-F200</f>
        <v>-1.6846672829664788E-2</v>
      </c>
      <c r="I292" s="2"/>
      <c r="J292">
        <f t="shared" ref="J292:J316" si="76">(A200/$J$5)+(B200/$J$6)</f>
        <v>0.51050147387913536</v>
      </c>
      <c r="K292" s="3">
        <f t="shared" ref="K292:K316" si="77">E200-J200</f>
        <v>-1.179964510967757E-2</v>
      </c>
      <c r="L292" s="2"/>
      <c r="M292">
        <f t="shared" ref="M292:M316" si="78">(A200/$M$5)+(B200/$M$6)</f>
        <v>0.4912027068813446</v>
      </c>
      <c r="N292" s="3">
        <f t="shared" ref="N292:N316" si="79">E200-M200</f>
        <v>-6.8569188752314325E-3</v>
      </c>
      <c r="O292" s="2"/>
      <c r="P292">
        <f t="shared" ref="P292:P316" si="80">(A200/$P$5)+(B200/$P$6)</f>
        <v>0.5091598507567292</v>
      </c>
      <c r="Q292" s="4">
        <f t="shared" ref="Q292:Q316" si="81">E200-P200</f>
        <v>-1.2266734005602187E-2</v>
      </c>
    </row>
    <row r="293" spans="6:17" x14ac:dyDescent="0.3">
      <c r="F293">
        <f t="shared" si="74"/>
        <v>0.4958243392327143</v>
      </c>
      <c r="H293" s="3">
        <f t="shared" si="75"/>
        <v>-0.11684667282966488</v>
      </c>
      <c r="I293" s="2"/>
      <c r="J293">
        <f t="shared" si="76"/>
        <v>0.51050147387913536</v>
      </c>
      <c r="K293" s="3">
        <f t="shared" si="77"/>
        <v>-0.11179964510967766</v>
      </c>
      <c r="L293" s="2"/>
      <c r="M293">
        <f t="shared" si="78"/>
        <v>0.4912027068813446</v>
      </c>
      <c r="N293" s="3">
        <f t="shared" si="79"/>
        <v>-0.10685691887523152</v>
      </c>
      <c r="O293" s="2"/>
      <c r="P293">
        <f t="shared" si="80"/>
        <v>0.5091598507567292</v>
      </c>
      <c r="Q293" s="4">
        <f t="shared" si="81"/>
        <v>-0.11226673400560228</v>
      </c>
    </row>
    <row r="294" spans="6:17" x14ac:dyDescent="0.3">
      <c r="F294">
        <f t="shared" si="74"/>
        <v>0.4958243392327143</v>
      </c>
      <c r="H294" s="3">
        <f t="shared" si="75"/>
        <v>-0.11684667282966488</v>
      </c>
      <c r="I294" s="2"/>
      <c r="J294">
        <f t="shared" si="76"/>
        <v>0.51050147387913536</v>
      </c>
      <c r="K294" s="3">
        <f t="shared" si="77"/>
        <v>-0.11179964510967766</v>
      </c>
      <c r="L294" s="2"/>
      <c r="M294">
        <f t="shared" si="78"/>
        <v>0.4912027068813446</v>
      </c>
      <c r="N294" s="3">
        <f t="shared" si="79"/>
        <v>-0.10685691887523152</v>
      </c>
      <c r="O294" s="2"/>
      <c r="P294">
        <f t="shared" si="80"/>
        <v>0.5091598507567292</v>
      </c>
      <c r="Q294" s="4">
        <f t="shared" si="81"/>
        <v>-0.11226673400560228</v>
      </c>
    </row>
    <row r="295" spans="6:17" x14ac:dyDescent="0.3">
      <c r="F295">
        <f t="shared" si="74"/>
        <v>0.4958243392327143</v>
      </c>
      <c r="H295" s="3">
        <f t="shared" si="75"/>
        <v>-0.11684667282966488</v>
      </c>
      <c r="I295" s="2"/>
      <c r="J295">
        <f t="shared" si="76"/>
        <v>0.51050147387913536</v>
      </c>
      <c r="K295" s="3">
        <f t="shared" si="77"/>
        <v>-0.11179964510967766</v>
      </c>
      <c r="L295" s="2"/>
      <c r="M295">
        <f t="shared" si="78"/>
        <v>0.4912027068813446</v>
      </c>
      <c r="N295" s="3">
        <f t="shared" si="79"/>
        <v>-0.10685691887523152</v>
      </c>
      <c r="O295" s="2"/>
      <c r="P295">
        <f t="shared" si="80"/>
        <v>0.5091598507567292</v>
      </c>
      <c r="Q295" s="4">
        <f t="shared" si="81"/>
        <v>-0.11226673400560228</v>
      </c>
    </row>
    <row r="296" spans="6:17" x14ac:dyDescent="0.3">
      <c r="F296">
        <f t="shared" si="74"/>
        <v>0.4958243392327143</v>
      </c>
      <c r="H296" s="3">
        <f t="shared" si="75"/>
        <v>-0.21684667282966485</v>
      </c>
      <c r="I296" s="2"/>
      <c r="J296">
        <f t="shared" si="76"/>
        <v>0.51050147387913536</v>
      </c>
      <c r="K296" s="3">
        <f t="shared" si="77"/>
        <v>-0.21179964510967764</v>
      </c>
      <c r="L296" s="2"/>
      <c r="M296">
        <f t="shared" si="78"/>
        <v>0.4912027068813446</v>
      </c>
      <c r="N296" s="3">
        <f t="shared" si="79"/>
        <v>-0.2068569188752315</v>
      </c>
      <c r="O296" s="2"/>
      <c r="P296">
        <f t="shared" si="80"/>
        <v>0.5091598507567292</v>
      </c>
      <c r="Q296" s="4">
        <f t="shared" si="81"/>
        <v>-0.21226673400560225</v>
      </c>
    </row>
    <row r="297" spans="6:17" x14ac:dyDescent="0.3">
      <c r="F297">
        <f t="shared" si="74"/>
        <v>0.99164867846542859</v>
      </c>
      <c r="H297" s="3">
        <f t="shared" si="75"/>
        <v>-9.2711847803715108E-2</v>
      </c>
      <c r="I297" s="2"/>
      <c r="J297">
        <f t="shared" si="76"/>
        <v>1.0210029477582707</v>
      </c>
      <c r="K297" s="3">
        <f t="shared" si="77"/>
        <v>-9.6900819768845681E-2</v>
      </c>
      <c r="L297" s="2"/>
      <c r="M297">
        <f t="shared" si="78"/>
        <v>0.98240541376268919</v>
      </c>
      <c r="N297" s="3">
        <f t="shared" si="79"/>
        <v>-7.5984050780325441E-2</v>
      </c>
      <c r="O297" s="2"/>
      <c r="P297">
        <f t="shared" si="80"/>
        <v>1.0183197015134584</v>
      </c>
      <c r="Q297" s="4">
        <f t="shared" si="81"/>
        <v>-9.4863621100740592E-2</v>
      </c>
    </row>
    <row r="298" spans="6:17" x14ac:dyDescent="0.3">
      <c r="F298">
        <f t="shared" si="74"/>
        <v>0.99164867846542859</v>
      </c>
      <c r="H298" s="3">
        <f t="shared" si="75"/>
        <v>-0.29271184780371512</v>
      </c>
      <c r="I298" s="2"/>
      <c r="J298">
        <f t="shared" si="76"/>
        <v>1.0210029477582707</v>
      </c>
      <c r="K298" s="3">
        <f t="shared" si="77"/>
        <v>-0.29690081976884569</v>
      </c>
      <c r="L298" s="2"/>
      <c r="M298">
        <f t="shared" si="78"/>
        <v>0.98240541376268919</v>
      </c>
      <c r="N298" s="3">
        <f t="shared" si="79"/>
        <v>-0.27598405078032545</v>
      </c>
      <c r="O298" s="2"/>
      <c r="P298">
        <f t="shared" si="80"/>
        <v>1.0183197015134584</v>
      </c>
      <c r="Q298" s="4">
        <f t="shared" si="81"/>
        <v>-0.2948636211007406</v>
      </c>
    </row>
    <row r="299" spans="6:17" x14ac:dyDescent="0.3">
      <c r="F299">
        <f t="shared" si="74"/>
        <v>0.99164867846542859</v>
      </c>
      <c r="H299" s="3">
        <f t="shared" si="75"/>
        <v>-9.2711847803715108E-2</v>
      </c>
      <c r="I299" s="2"/>
      <c r="J299">
        <f t="shared" si="76"/>
        <v>1.0210029477582707</v>
      </c>
      <c r="K299" s="3">
        <f t="shared" si="77"/>
        <v>-9.6900819768845681E-2</v>
      </c>
      <c r="L299" s="2"/>
      <c r="M299">
        <f t="shared" si="78"/>
        <v>0.98240541376268919</v>
      </c>
      <c r="N299" s="3">
        <f t="shared" si="79"/>
        <v>-7.5984050780325441E-2</v>
      </c>
      <c r="O299" s="2"/>
      <c r="P299">
        <f t="shared" si="80"/>
        <v>1.0183197015134584</v>
      </c>
      <c r="Q299" s="4">
        <f t="shared" si="81"/>
        <v>-9.4863621100740592E-2</v>
      </c>
    </row>
    <row r="300" spans="6:17" x14ac:dyDescent="0.3">
      <c r="F300">
        <f t="shared" si="74"/>
        <v>0.99164867846542859</v>
      </c>
      <c r="H300" s="3">
        <f t="shared" si="75"/>
        <v>-9.2711847803715108E-2</v>
      </c>
      <c r="I300" s="2"/>
      <c r="J300">
        <f t="shared" si="76"/>
        <v>1.0210029477582707</v>
      </c>
      <c r="K300" s="3">
        <f t="shared" si="77"/>
        <v>-9.6900819768845681E-2</v>
      </c>
      <c r="L300" s="2"/>
      <c r="M300">
        <f t="shared" si="78"/>
        <v>0.98240541376268919</v>
      </c>
      <c r="N300" s="3">
        <f t="shared" si="79"/>
        <v>-7.5984050780325441E-2</v>
      </c>
      <c r="O300" s="2"/>
      <c r="P300">
        <f t="shared" si="80"/>
        <v>1.0183197015134584</v>
      </c>
      <c r="Q300" s="4">
        <f t="shared" si="81"/>
        <v>-9.4863621100740592E-2</v>
      </c>
    </row>
    <row r="301" spans="6:17" x14ac:dyDescent="0.3">
      <c r="F301">
        <f t="shared" si="74"/>
        <v>0.99164867846542859</v>
      </c>
      <c r="H301" s="3">
        <f t="shared" si="75"/>
        <v>-9.2711847803715108E-2</v>
      </c>
      <c r="I301" s="2"/>
      <c r="J301">
        <f t="shared" si="76"/>
        <v>1.0210029477582707</v>
      </c>
      <c r="K301" s="3">
        <f t="shared" si="77"/>
        <v>-9.6900819768845681E-2</v>
      </c>
      <c r="L301" s="2"/>
      <c r="M301">
        <f t="shared" si="78"/>
        <v>0.98240541376268919</v>
      </c>
      <c r="N301" s="3">
        <f t="shared" si="79"/>
        <v>-7.5984050780325441E-2</v>
      </c>
      <c r="O301" s="2"/>
      <c r="P301">
        <f t="shared" si="80"/>
        <v>1.0183197015134584</v>
      </c>
      <c r="Q301" s="4">
        <f t="shared" si="81"/>
        <v>-9.4863621100740592E-2</v>
      </c>
    </row>
    <row r="302" spans="6:17" x14ac:dyDescent="0.3">
      <c r="F302">
        <f t="shared" si="74"/>
        <v>0</v>
      </c>
      <c r="H302" s="3">
        <f t="shared" si="75"/>
        <v>0</v>
      </c>
      <c r="I302" s="2"/>
      <c r="J302">
        <f t="shared" si="76"/>
        <v>0</v>
      </c>
      <c r="K302" s="3">
        <f t="shared" si="77"/>
        <v>0</v>
      </c>
      <c r="L302" s="2"/>
      <c r="M302">
        <f t="shared" si="78"/>
        <v>0</v>
      </c>
      <c r="N302" s="3">
        <f t="shared" si="79"/>
        <v>0</v>
      </c>
      <c r="O302" s="2"/>
      <c r="P302">
        <f t="shared" si="80"/>
        <v>0</v>
      </c>
      <c r="Q302" s="4">
        <f t="shared" si="81"/>
        <v>0</v>
      </c>
    </row>
    <row r="303" spans="6:17" x14ac:dyDescent="0.3">
      <c r="F303">
        <f t="shared" si="74"/>
        <v>0</v>
      </c>
      <c r="H303" s="3">
        <f t="shared" si="75"/>
        <v>0</v>
      </c>
      <c r="I303" s="2"/>
      <c r="J303">
        <f t="shared" si="76"/>
        <v>0</v>
      </c>
      <c r="K303" s="3">
        <f t="shared" si="77"/>
        <v>0</v>
      </c>
      <c r="L303" s="2"/>
      <c r="M303">
        <f t="shared" si="78"/>
        <v>0</v>
      </c>
      <c r="N303" s="3">
        <f t="shared" si="79"/>
        <v>0</v>
      </c>
      <c r="O303" s="2"/>
      <c r="P303">
        <f t="shared" si="80"/>
        <v>0</v>
      </c>
      <c r="Q303" s="4">
        <f t="shared" si="81"/>
        <v>0</v>
      </c>
    </row>
    <row r="304" spans="6:17" x14ac:dyDescent="0.3">
      <c r="F304">
        <f t="shared" si="74"/>
        <v>0</v>
      </c>
      <c r="H304" s="3">
        <f t="shared" si="75"/>
        <v>0</v>
      </c>
      <c r="I304" s="2"/>
      <c r="J304">
        <f t="shared" si="76"/>
        <v>0</v>
      </c>
      <c r="K304" s="3">
        <f t="shared" si="77"/>
        <v>0</v>
      </c>
      <c r="L304" s="2"/>
      <c r="M304">
        <f t="shared" si="78"/>
        <v>0</v>
      </c>
      <c r="N304" s="3">
        <f t="shared" si="79"/>
        <v>0</v>
      </c>
      <c r="O304" s="2"/>
      <c r="P304">
        <f t="shared" si="80"/>
        <v>0</v>
      </c>
      <c r="Q304" s="4">
        <f t="shared" si="81"/>
        <v>0</v>
      </c>
    </row>
    <row r="305" spans="6:17" x14ac:dyDescent="0.3">
      <c r="F305">
        <f t="shared" si="74"/>
        <v>0</v>
      </c>
      <c r="H305" s="3">
        <f t="shared" si="75"/>
        <v>0</v>
      </c>
      <c r="I305" s="2"/>
      <c r="J305">
        <f t="shared" si="76"/>
        <v>0</v>
      </c>
      <c r="K305" s="3">
        <f t="shared" si="77"/>
        <v>0</v>
      </c>
      <c r="L305" s="2"/>
      <c r="M305">
        <f t="shared" si="78"/>
        <v>0</v>
      </c>
      <c r="N305" s="3">
        <f t="shared" si="79"/>
        <v>0</v>
      </c>
      <c r="O305" s="2"/>
      <c r="P305">
        <f t="shared" si="80"/>
        <v>0</v>
      </c>
      <c r="Q305" s="4">
        <f t="shared" si="81"/>
        <v>0</v>
      </c>
    </row>
    <row r="306" spans="6:17" x14ac:dyDescent="0.3">
      <c r="F306">
        <f t="shared" si="74"/>
        <v>0</v>
      </c>
      <c r="H306" s="3">
        <f t="shared" si="75"/>
        <v>0</v>
      </c>
      <c r="I306" s="2"/>
      <c r="J306">
        <f t="shared" si="76"/>
        <v>0</v>
      </c>
      <c r="K306" s="3">
        <f t="shared" si="77"/>
        <v>0</v>
      </c>
      <c r="L306" s="2"/>
      <c r="M306">
        <f t="shared" si="78"/>
        <v>0</v>
      </c>
      <c r="N306" s="3">
        <f t="shared" si="79"/>
        <v>0</v>
      </c>
      <c r="O306" s="2"/>
      <c r="P306">
        <f t="shared" si="80"/>
        <v>0</v>
      </c>
      <c r="Q306" s="4">
        <f t="shared" si="81"/>
        <v>0</v>
      </c>
    </row>
    <row r="307" spans="6:17" x14ac:dyDescent="0.3">
      <c r="F307">
        <f t="shared" si="74"/>
        <v>0</v>
      </c>
      <c r="H307" s="3">
        <f t="shared" si="75"/>
        <v>0</v>
      </c>
      <c r="I307" s="2"/>
      <c r="J307">
        <f t="shared" si="76"/>
        <v>0</v>
      </c>
      <c r="K307" s="3">
        <f t="shared" si="77"/>
        <v>0</v>
      </c>
      <c r="L307" s="2"/>
      <c r="M307">
        <f t="shared" si="78"/>
        <v>0</v>
      </c>
      <c r="N307" s="3">
        <f t="shared" si="79"/>
        <v>0</v>
      </c>
      <c r="O307" s="2"/>
      <c r="P307">
        <f t="shared" si="80"/>
        <v>0</v>
      </c>
      <c r="Q307" s="4">
        <f t="shared" si="81"/>
        <v>0</v>
      </c>
    </row>
    <row r="308" spans="6:17" x14ac:dyDescent="0.3">
      <c r="F308">
        <f t="shared" si="74"/>
        <v>0</v>
      </c>
      <c r="H308" s="3">
        <f t="shared" si="75"/>
        <v>0</v>
      </c>
      <c r="I308" s="2"/>
      <c r="J308">
        <f t="shared" si="76"/>
        <v>0</v>
      </c>
      <c r="K308" s="3">
        <f t="shared" si="77"/>
        <v>0</v>
      </c>
      <c r="L308" s="2"/>
      <c r="M308">
        <f t="shared" si="78"/>
        <v>0</v>
      </c>
      <c r="N308" s="3">
        <f t="shared" si="79"/>
        <v>0</v>
      </c>
      <c r="O308" s="2"/>
      <c r="P308">
        <f t="shared" si="80"/>
        <v>0</v>
      </c>
      <c r="Q308" s="4">
        <f t="shared" si="81"/>
        <v>0</v>
      </c>
    </row>
    <row r="309" spans="6:17" x14ac:dyDescent="0.3">
      <c r="F309">
        <f t="shared" si="74"/>
        <v>0</v>
      </c>
      <c r="H309" s="3">
        <f t="shared" si="75"/>
        <v>0</v>
      </c>
      <c r="I309" s="2"/>
      <c r="J309">
        <f t="shared" si="76"/>
        <v>0</v>
      </c>
      <c r="K309" s="3">
        <f t="shared" si="77"/>
        <v>0</v>
      </c>
      <c r="L309" s="2"/>
      <c r="M309">
        <f t="shared" si="78"/>
        <v>0</v>
      </c>
      <c r="N309" s="3">
        <f t="shared" si="79"/>
        <v>0</v>
      </c>
      <c r="O309" s="2"/>
      <c r="P309">
        <f t="shared" si="80"/>
        <v>0</v>
      </c>
      <c r="Q309" s="4">
        <f t="shared" si="81"/>
        <v>0</v>
      </c>
    </row>
    <row r="310" spans="6:17" x14ac:dyDescent="0.3">
      <c r="F310">
        <f t="shared" si="74"/>
        <v>0</v>
      </c>
      <c r="H310" s="3">
        <f t="shared" si="75"/>
        <v>0</v>
      </c>
      <c r="I310" s="2"/>
      <c r="J310">
        <f t="shared" si="76"/>
        <v>0</v>
      </c>
      <c r="K310" s="3">
        <f t="shared" si="77"/>
        <v>0</v>
      </c>
      <c r="L310" s="2"/>
      <c r="M310">
        <f t="shared" si="78"/>
        <v>0</v>
      </c>
      <c r="N310" s="3">
        <f t="shared" si="79"/>
        <v>0</v>
      </c>
      <c r="O310" s="2"/>
      <c r="P310">
        <f t="shared" si="80"/>
        <v>0</v>
      </c>
      <c r="Q310" s="4">
        <f t="shared" si="81"/>
        <v>0</v>
      </c>
    </row>
    <row r="311" spans="6:17" x14ac:dyDescent="0.3">
      <c r="F311">
        <f t="shared" si="74"/>
        <v>0</v>
      </c>
      <c r="H311" s="3">
        <f t="shared" si="75"/>
        <v>0</v>
      </c>
      <c r="I311" s="2"/>
      <c r="J311">
        <f t="shared" si="76"/>
        <v>0</v>
      </c>
      <c r="K311" s="3">
        <f t="shared" si="77"/>
        <v>0</v>
      </c>
      <c r="L311" s="2"/>
      <c r="M311">
        <f t="shared" si="78"/>
        <v>0</v>
      </c>
      <c r="N311" s="3">
        <f t="shared" si="79"/>
        <v>0</v>
      </c>
      <c r="O311" s="2"/>
      <c r="P311">
        <f t="shared" si="80"/>
        <v>0</v>
      </c>
      <c r="Q311" s="4">
        <f t="shared" si="81"/>
        <v>0</v>
      </c>
    </row>
    <row r="312" spans="6:17" x14ac:dyDescent="0.3">
      <c r="F312">
        <f t="shared" si="74"/>
        <v>0</v>
      </c>
      <c r="H312" s="3">
        <f t="shared" si="75"/>
        <v>0</v>
      </c>
      <c r="I312" s="2"/>
      <c r="J312">
        <f t="shared" si="76"/>
        <v>0</v>
      </c>
      <c r="K312" s="3">
        <f t="shared" si="77"/>
        <v>0</v>
      </c>
      <c r="L312" s="2"/>
      <c r="M312">
        <f t="shared" si="78"/>
        <v>0</v>
      </c>
      <c r="N312" s="3">
        <f t="shared" si="79"/>
        <v>0</v>
      </c>
      <c r="O312" s="2"/>
      <c r="P312">
        <f t="shared" si="80"/>
        <v>0</v>
      </c>
      <c r="Q312" s="4">
        <f t="shared" si="81"/>
        <v>0</v>
      </c>
    </row>
    <row r="313" spans="6:17" x14ac:dyDescent="0.3">
      <c r="F313">
        <f t="shared" si="74"/>
        <v>0</v>
      </c>
      <c r="H313" s="3">
        <f t="shared" si="75"/>
        <v>0</v>
      </c>
      <c r="I313" s="2"/>
      <c r="J313">
        <f t="shared" si="76"/>
        <v>0</v>
      </c>
      <c r="K313" s="3">
        <f t="shared" si="77"/>
        <v>0</v>
      </c>
      <c r="L313" s="2"/>
      <c r="M313">
        <f t="shared" si="78"/>
        <v>0</v>
      </c>
      <c r="N313" s="3">
        <f t="shared" si="79"/>
        <v>0</v>
      </c>
      <c r="O313" s="2"/>
      <c r="P313">
        <f t="shared" si="80"/>
        <v>0</v>
      </c>
      <c r="Q313" s="4">
        <f t="shared" si="81"/>
        <v>0</v>
      </c>
    </row>
    <row r="314" spans="6:17" x14ac:dyDescent="0.3">
      <c r="F314">
        <f t="shared" si="74"/>
        <v>0</v>
      </c>
      <c r="H314" s="3">
        <f t="shared" si="75"/>
        <v>0</v>
      </c>
      <c r="I314" s="2"/>
      <c r="J314">
        <f t="shared" si="76"/>
        <v>0</v>
      </c>
      <c r="K314" s="3">
        <f t="shared" si="77"/>
        <v>0</v>
      </c>
      <c r="L314" s="2"/>
      <c r="M314">
        <f t="shared" si="78"/>
        <v>0</v>
      </c>
      <c r="N314" s="3">
        <f t="shared" si="79"/>
        <v>0</v>
      </c>
      <c r="O314" s="2"/>
      <c r="P314">
        <f t="shared" si="80"/>
        <v>0</v>
      </c>
      <c r="Q314" s="4">
        <f t="shared" si="81"/>
        <v>0</v>
      </c>
    </row>
    <row r="315" spans="6:17" x14ac:dyDescent="0.3">
      <c r="F315">
        <f t="shared" si="74"/>
        <v>0</v>
      </c>
      <c r="H315" s="3">
        <f t="shared" si="75"/>
        <v>0</v>
      </c>
      <c r="I315" s="2"/>
      <c r="J315">
        <f t="shared" si="76"/>
        <v>0</v>
      </c>
      <c r="K315" s="3">
        <f t="shared" si="77"/>
        <v>0</v>
      </c>
      <c r="L315" s="2"/>
      <c r="M315">
        <f t="shared" si="78"/>
        <v>0</v>
      </c>
      <c r="N315" s="3">
        <f t="shared" si="79"/>
        <v>0</v>
      </c>
      <c r="O315" s="2"/>
      <c r="P315">
        <f t="shared" si="80"/>
        <v>0</v>
      </c>
      <c r="Q315" s="4">
        <f t="shared" si="81"/>
        <v>0</v>
      </c>
    </row>
    <row r="316" spans="6:17" x14ac:dyDescent="0.3">
      <c r="F316">
        <f t="shared" si="74"/>
        <v>0</v>
      </c>
      <c r="H316" s="3">
        <f t="shared" si="75"/>
        <v>0</v>
      </c>
      <c r="I316" s="2"/>
      <c r="J316">
        <f t="shared" si="76"/>
        <v>0</v>
      </c>
      <c r="K316" s="3">
        <f t="shared" si="77"/>
        <v>0</v>
      </c>
      <c r="L316" s="2"/>
      <c r="M316">
        <f t="shared" si="78"/>
        <v>0</v>
      </c>
      <c r="N316" s="3">
        <f t="shared" si="79"/>
        <v>0</v>
      </c>
      <c r="O316" s="2"/>
      <c r="P316">
        <f t="shared" si="80"/>
        <v>0</v>
      </c>
      <c r="Q316" s="4">
        <f t="shared" si="81"/>
        <v>0</v>
      </c>
    </row>
    <row r="317" spans="6:17" x14ac:dyDescent="0.3">
      <c r="H317" s="3"/>
      <c r="I317" s="2"/>
      <c r="K317" s="3"/>
      <c r="L317" s="2"/>
      <c r="N317" s="3"/>
      <c r="O317" s="2"/>
      <c r="Q317" s="4"/>
    </row>
    <row r="318" spans="6:17" x14ac:dyDescent="0.3">
      <c r="H318" s="3"/>
      <c r="I318" s="2"/>
      <c r="K318" s="3"/>
      <c r="L318" s="2"/>
      <c r="N318" s="3"/>
      <c r="O318" s="2"/>
      <c r="Q318" s="4"/>
    </row>
    <row r="319" spans="6:17" x14ac:dyDescent="0.3">
      <c r="H319" s="3"/>
      <c r="I319" s="2"/>
      <c r="K319" s="3"/>
      <c r="L319" s="2"/>
      <c r="N319" s="3"/>
      <c r="O319" s="2"/>
      <c r="Q319" s="4"/>
    </row>
    <row r="320" spans="6:17" x14ac:dyDescent="0.3">
      <c r="H320" s="3"/>
      <c r="I320" s="2"/>
      <c r="K320" s="3"/>
      <c r="L320" s="2"/>
      <c r="N320" s="3"/>
      <c r="O320" s="2"/>
      <c r="Q320" s="4"/>
    </row>
    <row r="321" spans="8:17" x14ac:dyDescent="0.3">
      <c r="H321" s="3"/>
      <c r="I321" s="2"/>
      <c r="K321" s="3"/>
      <c r="L321" s="2"/>
      <c r="N321" s="3"/>
      <c r="O321" s="2"/>
      <c r="Q321" s="4"/>
    </row>
    <row r="322" spans="8:17" x14ac:dyDescent="0.3">
      <c r="H322" s="3"/>
      <c r="I322" s="2"/>
      <c r="K322" s="3"/>
      <c r="L322" s="2"/>
      <c r="N322" s="3"/>
      <c r="O322" s="2"/>
      <c r="Q322" s="4"/>
    </row>
  </sheetData>
  <protectedRanges>
    <protectedRange sqref="B20:B22" name="Experiment details"/>
    <protectedRange sqref="F2:H6 J2:K7 M2:N8 P2:Q8" name="Fitting parameters"/>
    <protectedRange sqref="E70:Q89 E115:Q134 A210:Q224 C25:D209 O46:O69 O91:O114" name="Data entry"/>
    <protectedRange sqref="AD1 AF1 AL1 AO1" name="Dose response fig adjust"/>
    <protectedRange sqref="A24:B209" name="Data entry_1"/>
  </protectedRanges>
  <phoneticPr fontId="1" type="noConversion"/>
  <pageMargins left="0.75" right="0.75" top="1" bottom="1" header="0.5" footer="0.5"/>
  <pageSetup paperSize="9" orientation="portrait" r:id="rId1"/>
  <headerFooter alignWithMargins="0"/>
  <ignoredErrors>
    <ignoredError sqref="H11" formulaRange="1"/>
  </ignoredError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indexed="43"/>
  </sheetPr>
  <dimension ref="A1:AR317"/>
  <sheetViews>
    <sheetView topLeftCell="A3" zoomScale="73" workbookViewId="0">
      <selection activeCell="S12" sqref="S12"/>
    </sheetView>
  </sheetViews>
  <sheetFormatPr defaultRowHeight="12.45" x14ac:dyDescent="0.3"/>
  <cols>
    <col min="1" max="2" width="9.23046875" bestFit="1" customWidth="1"/>
    <col min="3" max="3" width="9.69140625" bestFit="1" customWidth="1"/>
    <col min="4" max="4" width="9.69140625" customWidth="1"/>
    <col min="5" max="5" width="5.84375" customWidth="1"/>
    <col min="6" max="6" width="9.23046875" bestFit="1" customWidth="1"/>
    <col min="7" max="7" width="9.23046875" style="42" hidden="1" customWidth="1"/>
    <col min="8" max="8" width="12.69140625" bestFit="1" customWidth="1"/>
    <col min="9" max="9" width="2.53515625" customWidth="1"/>
    <col min="10" max="11" width="9.23046875" bestFit="1" customWidth="1"/>
    <col min="12" max="12" width="2.23046875" customWidth="1"/>
    <col min="13" max="14" width="9.23046875" bestFit="1" customWidth="1"/>
    <col min="15" max="15" width="2.15234375" customWidth="1"/>
    <col min="16" max="16" width="11.15234375" customWidth="1"/>
    <col min="17" max="17" width="10.69140625" customWidth="1"/>
    <col min="20" max="20" width="9.23046875" bestFit="1" customWidth="1"/>
    <col min="25" max="26" width="9.23046875" bestFit="1" customWidth="1"/>
    <col min="30" max="30" width="9.4609375" bestFit="1" customWidth="1"/>
    <col min="31" max="31" width="12.53515625" bestFit="1" customWidth="1"/>
    <col min="33" max="33" width="2.84375" customWidth="1"/>
    <col min="36" max="36" width="2.84375" customWidth="1"/>
    <col min="37" max="38" width="9.4609375" bestFit="1" customWidth="1"/>
    <col min="39" max="39" width="2.69140625" customWidth="1"/>
    <col min="42" max="42" width="3" customWidth="1"/>
  </cols>
  <sheetData>
    <row r="1" spans="1:44" x14ac:dyDescent="0.3">
      <c r="F1" s="74" t="s">
        <v>21</v>
      </c>
      <c r="G1" s="77"/>
      <c r="H1" s="75"/>
      <c r="I1" s="1"/>
      <c r="J1" s="74" t="s">
        <v>4</v>
      </c>
      <c r="K1" s="75"/>
      <c r="L1" s="1"/>
      <c r="M1" s="74" t="s">
        <v>7</v>
      </c>
      <c r="N1" s="75"/>
      <c r="O1" s="1"/>
      <c r="P1" s="74" t="s">
        <v>8</v>
      </c>
      <c r="Q1" s="16"/>
      <c r="AC1" s="38" t="s">
        <v>24</v>
      </c>
      <c r="AD1" s="39"/>
      <c r="AE1" s="38" t="s">
        <v>55</v>
      </c>
      <c r="AF1" s="40">
        <v>1.3</v>
      </c>
      <c r="AH1" s="1"/>
      <c r="AJ1" s="1" t="s">
        <v>23</v>
      </c>
      <c r="AL1" s="39"/>
      <c r="AN1" s="38" t="s">
        <v>55</v>
      </c>
      <c r="AO1" s="40">
        <v>1.3</v>
      </c>
      <c r="AQ1" s="1"/>
    </row>
    <row r="2" spans="1:44" x14ac:dyDescent="0.3">
      <c r="B2" s="1" t="s">
        <v>22</v>
      </c>
      <c r="F2" s="24"/>
      <c r="H2" s="25"/>
      <c r="J2" s="24"/>
      <c r="K2" s="25"/>
      <c r="M2" s="24"/>
      <c r="N2" s="25"/>
      <c r="P2" s="24"/>
      <c r="Q2" s="25"/>
      <c r="T2" s="3">
        <f>0</f>
        <v>0</v>
      </c>
      <c r="AD2">
        <f>MAX(AD1,MAX(A25:A220))</f>
        <v>0</v>
      </c>
      <c r="AL2">
        <f>MAX(AL1,MAX(B25:B220))</f>
        <v>0</v>
      </c>
    </row>
    <row r="3" spans="1:44" x14ac:dyDescent="0.3">
      <c r="B3" s="21" t="s">
        <v>34</v>
      </c>
      <c r="C3" s="12"/>
      <c r="D3" s="12"/>
      <c r="E3" s="12"/>
      <c r="F3" s="49"/>
      <c r="G3" s="12"/>
      <c r="H3" s="50"/>
      <c r="I3" s="12"/>
      <c r="J3" s="49"/>
      <c r="K3" s="50"/>
      <c r="L3" s="12"/>
      <c r="M3" s="49"/>
      <c r="N3" s="50"/>
      <c r="O3" s="12"/>
      <c r="P3" s="49"/>
      <c r="Q3" s="50"/>
      <c r="T3" s="3" t="e">
        <f>MAX(E25:E220)</f>
        <v>#DIV/0!</v>
      </c>
      <c r="AE3" t="s">
        <v>0</v>
      </c>
      <c r="AL3" t="s">
        <v>0</v>
      </c>
    </row>
    <row r="4" spans="1:44" x14ac:dyDescent="0.3">
      <c r="B4" s="22" t="s">
        <v>35</v>
      </c>
      <c r="C4" s="8"/>
      <c r="D4" s="8"/>
      <c r="E4" s="8"/>
      <c r="F4" s="51"/>
      <c r="G4" s="8"/>
      <c r="H4" s="52"/>
      <c r="I4" s="8"/>
      <c r="J4" s="51"/>
      <c r="K4" s="52"/>
      <c r="L4" s="8"/>
      <c r="M4" s="51"/>
      <c r="N4" s="52"/>
      <c r="O4" s="8"/>
      <c r="P4" s="51"/>
      <c r="Q4" s="52"/>
      <c r="AD4">
        <v>0</v>
      </c>
      <c r="AE4" t="e">
        <f t="shared" ref="AE4:AE16" si="0">$F$2/(1+(AD4/$F$5)^$F$3)</f>
        <v>#DIV/0!</v>
      </c>
      <c r="AK4">
        <v>0</v>
      </c>
      <c r="AL4" t="e">
        <f t="shared" ref="AL4:AL16" si="1">$F$2/(1+(AK4/$F$6)^$F$4)</f>
        <v>#DIV/0!</v>
      </c>
    </row>
    <row r="5" spans="1:44" x14ac:dyDescent="0.3">
      <c r="B5" s="21" t="s">
        <v>43</v>
      </c>
      <c r="C5" s="12"/>
      <c r="D5" s="12"/>
      <c r="E5" s="12"/>
      <c r="F5" s="49"/>
      <c r="G5" s="12"/>
      <c r="H5" s="50"/>
      <c r="I5" s="12"/>
      <c r="J5" s="49"/>
      <c r="K5" s="50"/>
      <c r="L5" s="12"/>
      <c r="M5" s="49"/>
      <c r="N5" s="50"/>
      <c r="O5" s="12"/>
      <c r="P5" s="49"/>
      <c r="Q5" s="50"/>
      <c r="AD5">
        <f t="shared" ref="AD5:AD14" si="2">AD6/$AF$1</f>
        <v>0</v>
      </c>
      <c r="AE5" t="e">
        <f t="shared" si="0"/>
        <v>#DIV/0!</v>
      </c>
      <c r="AK5">
        <f t="shared" ref="AK5:AK14" si="3">AK6/$AO$1</f>
        <v>0</v>
      </c>
      <c r="AL5" t="e">
        <f t="shared" si="1"/>
        <v>#DIV/0!</v>
      </c>
    </row>
    <row r="6" spans="1:44" x14ac:dyDescent="0.3">
      <c r="B6" s="22" t="s">
        <v>42</v>
      </c>
      <c r="C6" s="8"/>
      <c r="D6" s="8"/>
      <c r="E6" s="8"/>
      <c r="F6" s="67"/>
      <c r="G6" s="68"/>
      <c r="H6" s="69"/>
      <c r="I6" s="8"/>
      <c r="J6" s="51"/>
      <c r="K6" s="52"/>
      <c r="L6" s="8"/>
      <c r="M6" s="51"/>
      <c r="N6" s="52"/>
      <c r="O6" s="8"/>
      <c r="P6" s="51"/>
      <c r="Q6" s="52"/>
      <c r="AD6">
        <f t="shared" si="2"/>
        <v>0</v>
      </c>
      <c r="AE6" t="e">
        <f t="shared" si="0"/>
        <v>#DIV/0!</v>
      </c>
      <c r="AK6">
        <f t="shared" si="3"/>
        <v>0</v>
      </c>
      <c r="AL6" t="e">
        <f t="shared" si="1"/>
        <v>#DIV/0!</v>
      </c>
    </row>
    <row r="7" spans="1:44" x14ac:dyDescent="0.3">
      <c r="B7" s="1" t="s">
        <v>5</v>
      </c>
      <c r="H7" s="2"/>
      <c r="I7" s="2"/>
      <c r="J7" s="26"/>
      <c r="K7" s="27"/>
      <c r="M7" s="24"/>
      <c r="N7" s="25"/>
      <c r="P7" s="24"/>
      <c r="Q7" s="25"/>
      <c r="Y7">
        <v>0</v>
      </c>
      <c r="Z7">
        <v>0</v>
      </c>
      <c r="AD7">
        <f t="shared" si="2"/>
        <v>0</v>
      </c>
      <c r="AE7" t="e">
        <f t="shared" si="0"/>
        <v>#DIV/0!</v>
      </c>
      <c r="AK7">
        <f t="shared" si="3"/>
        <v>0</v>
      </c>
      <c r="AL7" t="e">
        <f t="shared" si="1"/>
        <v>#DIV/0!</v>
      </c>
    </row>
    <row r="8" spans="1:44" x14ac:dyDescent="0.3">
      <c r="B8" s="1" t="s">
        <v>6</v>
      </c>
      <c r="M8" s="26"/>
      <c r="N8" s="27"/>
      <c r="P8" s="26"/>
      <c r="Q8" s="27"/>
      <c r="Y8" t="e">
        <f>MAX(MAX(F222:F297), MAX(J222:J297), MAX(M222:M297), MAX(P222:P297))</f>
        <v>#DIV/0!</v>
      </c>
      <c r="Z8">
        <v>0</v>
      </c>
      <c r="AD8">
        <f t="shared" si="2"/>
        <v>0</v>
      </c>
      <c r="AE8" t="e">
        <f t="shared" si="0"/>
        <v>#DIV/0!</v>
      </c>
      <c r="AK8">
        <f t="shared" si="3"/>
        <v>0</v>
      </c>
      <c r="AL8" t="e">
        <f t="shared" si="1"/>
        <v>#DIV/0!</v>
      </c>
    </row>
    <row r="9" spans="1:44" x14ac:dyDescent="0.3">
      <c r="B9" s="1"/>
      <c r="AD9">
        <f t="shared" si="2"/>
        <v>0</v>
      </c>
      <c r="AE9" t="e">
        <f t="shared" si="0"/>
        <v>#DIV/0!</v>
      </c>
      <c r="AK9">
        <f t="shared" si="3"/>
        <v>0</v>
      </c>
      <c r="AL9" t="e">
        <f t="shared" si="1"/>
        <v>#DIV/0!</v>
      </c>
    </row>
    <row r="10" spans="1:44" x14ac:dyDescent="0.3">
      <c r="D10" s="35"/>
      <c r="E10" s="60"/>
      <c r="F10" s="35" t="s">
        <v>63</v>
      </c>
      <c r="G10" s="45"/>
      <c r="H10" s="36" t="s">
        <v>10</v>
      </c>
      <c r="J10" s="35"/>
      <c r="K10" s="36"/>
      <c r="M10" s="35"/>
      <c r="N10" s="36"/>
      <c r="P10" s="35"/>
      <c r="Q10" s="36"/>
      <c r="AD10">
        <f t="shared" si="2"/>
        <v>0</v>
      </c>
      <c r="AE10" t="e">
        <f t="shared" si="0"/>
        <v>#DIV/0!</v>
      </c>
      <c r="AH10" s="3"/>
      <c r="AK10">
        <f t="shared" si="3"/>
        <v>0</v>
      </c>
      <c r="AL10" t="e">
        <f t="shared" si="1"/>
        <v>#DIV/0!</v>
      </c>
    </row>
    <row r="11" spans="1:44" x14ac:dyDescent="0.3">
      <c r="D11" s="24" t="s">
        <v>58</v>
      </c>
      <c r="F11" s="24" t="e">
        <f>F13-F12</f>
        <v>#VALUE!</v>
      </c>
      <c r="H11" s="25">
        <f>COUNT(F3:F6)</f>
        <v>0</v>
      </c>
      <c r="J11" s="24" t="s">
        <v>66</v>
      </c>
      <c r="K11" s="25"/>
      <c r="M11" s="24" t="s">
        <v>68</v>
      </c>
      <c r="N11" s="25"/>
      <c r="P11" s="24" t="s">
        <v>67</v>
      </c>
      <c r="Q11" s="25"/>
      <c r="AD11">
        <f t="shared" si="2"/>
        <v>0</v>
      </c>
      <c r="AE11" t="e">
        <f t="shared" si="0"/>
        <v>#DIV/0!</v>
      </c>
      <c r="AK11">
        <f t="shared" si="3"/>
        <v>0</v>
      </c>
      <c r="AL11" t="e">
        <f t="shared" si="1"/>
        <v>#DIV/0!</v>
      </c>
    </row>
    <row r="12" spans="1:44" s="7" customFormat="1" x14ac:dyDescent="0.3">
      <c r="A12"/>
      <c r="B12"/>
      <c r="D12" s="56" t="s">
        <v>16</v>
      </c>
      <c r="E12"/>
      <c r="F12" s="76" t="e">
        <f>-2*SUM(H25:H219)</f>
        <v>#VALUE!</v>
      </c>
      <c r="G12" s="42"/>
      <c r="H12" s="25">
        <f>H13-H11</f>
        <v>-1</v>
      </c>
      <c r="I12"/>
      <c r="J12" s="76" t="e">
        <f>-2*SUM(K25:K219)</f>
        <v>#VALUE!</v>
      </c>
      <c r="K12" s="25"/>
      <c r="L12"/>
      <c r="M12" s="76" t="e">
        <f>-2*SUM(N25:N219)</f>
        <v>#VALUE!</v>
      </c>
      <c r="N12" s="25"/>
      <c r="O12"/>
      <c r="P12" s="76" t="e">
        <f>-2*SUM(Q25:Q219)</f>
        <v>#VALUE!</v>
      </c>
      <c r="Q12" s="25"/>
      <c r="R12"/>
      <c r="AD12">
        <f t="shared" si="2"/>
        <v>0</v>
      </c>
      <c r="AE12" t="e">
        <f t="shared" si="0"/>
        <v>#DIV/0!</v>
      </c>
      <c r="AF12"/>
      <c r="AG12"/>
      <c r="AK12">
        <f t="shared" si="3"/>
        <v>0</v>
      </c>
      <c r="AL12" t="e">
        <f t="shared" si="1"/>
        <v>#DIV/0!</v>
      </c>
      <c r="AN12" s="6"/>
      <c r="AO12" s="6"/>
      <c r="AQ12" s="6"/>
      <c r="AR12" s="6"/>
    </row>
    <row r="13" spans="1:44" x14ac:dyDescent="0.3">
      <c r="D13" s="26" t="s">
        <v>53</v>
      </c>
      <c r="E13" s="28"/>
      <c r="F13" s="26" t="e">
        <f>-2*SUM(G25:G219)</f>
        <v>#VALUE!</v>
      </c>
      <c r="G13" s="46"/>
      <c r="H13" s="27">
        <f>D16-1</f>
        <v>-1</v>
      </c>
      <c r="J13" s="26"/>
      <c r="K13" s="27"/>
      <c r="M13" s="26"/>
      <c r="N13" s="27"/>
      <c r="P13" s="26"/>
      <c r="Q13" s="27"/>
      <c r="AD13">
        <f t="shared" si="2"/>
        <v>0</v>
      </c>
      <c r="AE13" t="e">
        <f t="shared" si="0"/>
        <v>#DIV/0!</v>
      </c>
      <c r="AK13">
        <f t="shared" si="3"/>
        <v>0</v>
      </c>
      <c r="AL13" t="e">
        <f t="shared" si="1"/>
        <v>#DIV/0!</v>
      </c>
    </row>
    <row r="14" spans="1:44" x14ac:dyDescent="0.3">
      <c r="B14" s="80" t="s">
        <v>70</v>
      </c>
      <c r="C14" s="3"/>
      <c r="D14" s="3"/>
      <c r="F14" s="24"/>
      <c r="AD14">
        <f t="shared" si="2"/>
        <v>0</v>
      </c>
      <c r="AE14" t="e">
        <f t="shared" si="0"/>
        <v>#DIV/0!</v>
      </c>
      <c r="AK14">
        <f t="shared" si="3"/>
        <v>0</v>
      </c>
      <c r="AL14" t="e">
        <f t="shared" si="1"/>
        <v>#DIV/0!</v>
      </c>
    </row>
    <row r="15" spans="1:44" ht="24.9" x14ac:dyDescent="0.3">
      <c r="A15" s="7"/>
      <c r="C15" s="58" t="s">
        <v>15</v>
      </c>
      <c r="D15" s="64"/>
      <c r="E15" s="64"/>
      <c r="F15" s="58" t="s">
        <v>69</v>
      </c>
      <c r="G15" s="65"/>
      <c r="H15" s="66"/>
      <c r="I15" s="7"/>
      <c r="J15" s="58" t="s">
        <v>44</v>
      </c>
      <c r="K15" s="59"/>
      <c r="L15" s="6"/>
      <c r="M15" s="58" t="s">
        <v>45</v>
      </c>
      <c r="N15" s="59" t="s">
        <v>20</v>
      </c>
      <c r="O15" s="6"/>
      <c r="P15" s="58" t="s">
        <v>46</v>
      </c>
      <c r="Q15" s="59" t="s">
        <v>48</v>
      </c>
      <c r="AD15">
        <f>$AD$2</f>
        <v>0</v>
      </c>
      <c r="AE15" t="e">
        <f t="shared" si="0"/>
        <v>#DIV/0!</v>
      </c>
      <c r="AK15">
        <f>$AL$2</f>
        <v>0</v>
      </c>
      <c r="AL15" t="e">
        <f t="shared" si="1"/>
        <v>#DIV/0!</v>
      </c>
    </row>
    <row r="16" spans="1:44" x14ac:dyDescent="0.3">
      <c r="C16" s="29" t="s">
        <v>9</v>
      </c>
      <c r="D16" s="30">
        <f>COUNT(C25:C219)</f>
        <v>0</v>
      </c>
      <c r="F16" s="24" t="s">
        <v>62</v>
      </c>
      <c r="G16"/>
      <c r="H16" s="25" t="e">
        <f>($F$13-F12)/$F$13</f>
        <v>#VALUE!</v>
      </c>
      <c r="J16" s="24" t="s">
        <v>62</v>
      </c>
      <c r="K16" s="25" t="e">
        <f>($F$13-J12)/$F$13</f>
        <v>#VALUE!</v>
      </c>
      <c r="M16" s="24" t="s">
        <v>62</v>
      </c>
      <c r="N16" s="25" t="e">
        <f>($F$13-M12)/$F$13</f>
        <v>#VALUE!</v>
      </c>
      <c r="P16" s="24" t="s">
        <v>62</v>
      </c>
      <c r="Q16" s="25" t="e">
        <f>($F$13-P12)/$F$13</f>
        <v>#VALUE!</v>
      </c>
      <c r="R16" s="6"/>
      <c r="AD16">
        <f>AD15*$AF$1</f>
        <v>0</v>
      </c>
      <c r="AE16" t="e">
        <f t="shared" si="0"/>
        <v>#DIV/0!</v>
      </c>
      <c r="AK16">
        <f>AK15*$AO$1</f>
        <v>0</v>
      </c>
      <c r="AL16" t="e">
        <f t="shared" si="1"/>
        <v>#DIV/0!</v>
      </c>
    </row>
    <row r="17" spans="1:44" x14ac:dyDescent="0.3">
      <c r="B17" s="1"/>
      <c r="C17" s="24"/>
      <c r="F17" s="24" t="s">
        <v>65</v>
      </c>
      <c r="G17"/>
      <c r="H17" s="25" t="e">
        <f>F11</f>
        <v>#VALUE!</v>
      </c>
      <c r="J17" s="24"/>
      <c r="K17" s="25"/>
      <c r="M17" s="24"/>
      <c r="N17" s="25"/>
      <c r="P17" s="24"/>
      <c r="Q17" s="25"/>
    </row>
    <row r="18" spans="1:44" x14ac:dyDescent="0.3">
      <c r="C18" s="26"/>
      <c r="D18" s="28"/>
      <c r="E18" s="28"/>
      <c r="F18" s="26" t="s">
        <v>51</v>
      </c>
      <c r="G18" s="28"/>
      <c r="H18" s="27" t="e">
        <f>CHIDIST(H17,H11)</f>
        <v>#VALUE!</v>
      </c>
      <c r="I18" s="1" t="s">
        <v>10</v>
      </c>
      <c r="J18" s="24">
        <v>1</v>
      </c>
      <c r="K18" s="25"/>
      <c r="M18" s="24">
        <v>2</v>
      </c>
      <c r="N18" s="25">
        <v>1</v>
      </c>
      <c r="P18" s="24">
        <v>2</v>
      </c>
      <c r="Q18" s="25">
        <v>1</v>
      </c>
    </row>
    <row r="19" spans="1:44" x14ac:dyDescent="0.3">
      <c r="A19" s="18" t="s">
        <v>38</v>
      </c>
      <c r="B19" s="1"/>
      <c r="H19" s="1" t="s">
        <v>36</v>
      </c>
      <c r="J19" s="24" t="e">
        <f>F12-J12</f>
        <v>#VALUE!</v>
      </c>
      <c r="K19" s="25"/>
      <c r="M19" s="24" t="e">
        <f>F12-M12</f>
        <v>#VALUE!</v>
      </c>
      <c r="N19" s="25" t="e">
        <f>J12-M12</f>
        <v>#VALUE!</v>
      </c>
      <c r="P19" s="24" t="e">
        <f>F12-P12</f>
        <v>#VALUE!</v>
      </c>
      <c r="Q19" s="25" t="e">
        <f>J12-P12</f>
        <v>#VALUE!</v>
      </c>
      <c r="AE19" t="s">
        <v>0</v>
      </c>
      <c r="AL19" t="s">
        <v>0</v>
      </c>
    </row>
    <row r="20" spans="1:44" x14ac:dyDescent="0.3">
      <c r="A20" s="18" t="s">
        <v>39</v>
      </c>
      <c r="B20" s="20"/>
      <c r="C20" s="12"/>
      <c r="D20" s="12"/>
      <c r="E20" s="12"/>
      <c r="H20" s="1" t="s">
        <v>37</v>
      </c>
      <c r="J20" s="26" t="e">
        <f>CHIDIST(J19,J18)</f>
        <v>#VALUE!</v>
      </c>
      <c r="K20" s="27"/>
      <c r="M20" s="26" t="e">
        <f>CHIDIST(M19,M18)</f>
        <v>#VALUE!</v>
      </c>
      <c r="N20" s="27" t="e">
        <f>CHIDIST(N19,N18)</f>
        <v>#VALUE!</v>
      </c>
      <c r="P20" s="26" t="e">
        <f>CHIDIST(P19,P18)</f>
        <v>#VALUE!</v>
      </c>
      <c r="Q20" s="27" t="e">
        <f>CHIDIST(Q19,Q18)</f>
        <v>#VALUE!</v>
      </c>
      <c r="AD20">
        <v>0</v>
      </c>
      <c r="AE20" t="e">
        <f t="shared" ref="AE20:AE32" si="4">$J$2/(1+(AD20/$J$5)^$J$3)</f>
        <v>#DIV/0!</v>
      </c>
      <c r="AF20" s="1"/>
      <c r="AH20" s="1"/>
      <c r="AK20">
        <v>0</v>
      </c>
      <c r="AL20" t="e">
        <f t="shared" ref="AL20:AL32" si="5">$J$2/(1+(AK20/$J$6)^$J$4)</f>
        <v>#DIV/0!</v>
      </c>
      <c r="AN20" s="1"/>
      <c r="AQ20" s="1"/>
    </row>
    <row r="21" spans="1:44" x14ac:dyDescent="0.3">
      <c r="A21" s="18" t="s">
        <v>40</v>
      </c>
      <c r="B21" s="12"/>
      <c r="C21" s="13"/>
      <c r="D21" s="13"/>
      <c r="E21" s="12"/>
      <c r="AD21">
        <f t="shared" ref="AD21:AD30" si="6">AD22/$AF$1</f>
        <v>0</v>
      </c>
      <c r="AE21" t="e">
        <f t="shared" si="4"/>
        <v>#DIV/0!</v>
      </c>
      <c r="AF21" s="5"/>
      <c r="AG21" s="3"/>
      <c r="AH21" s="3"/>
      <c r="AI21" s="3"/>
      <c r="AJ21" s="3"/>
      <c r="AK21">
        <f t="shared" ref="AK21:AK30" si="7">AK22/$AO$1</f>
        <v>0</v>
      </c>
      <c r="AL21" t="e">
        <f t="shared" si="5"/>
        <v>#DIV/0!</v>
      </c>
      <c r="AM21" s="3"/>
      <c r="AN21" s="3"/>
      <c r="AO21" s="3"/>
      <c r="AP21" s="3"/>
      <c r="AQ21" s="3"/>
      <c r="AR21" s="3"/>
    </row>
    <row r="22" spans="1:44" x14ac:dyDescent="0.3">
      <c r="A22" s="18" t="s">
        <v>41</v>
      </c>
      <c r="B22" s="12"/>
      <c r="C22" s="12"/>
      <c r="D22" s="12"/>
      <c r="E22" s="12"/>
      <c r="G22" s="42" t="s">
        <v>64</v>
      </c>
      <c r="H22" t="s">
        <v>18</v>
      </c>
      <c r="AD22">
        <f t="shared" si="6"/>
        <v>0</v>
      </c>
      <c r="AE22" t="e">
        <f t="shared" si="4"/>
        <v>#DIV/0!</v>
      </c>
      <c r="AF22" s="5"/>
      <c r="AG22" s="3"/>
      <c r="AH22" s="3"/>
      <c r="AI22" s="3"/>
      <c r="AJ22" s="3"/>
      <c r="AK22">
        <f t="shared" si="7"/>
        <v>0</v>
      </c>
      <c r="AL22" t="e">
        <f t="shared" si="5"/>
        <v>#DIV/0!</v>
      </c>
      <c r="AM22" s="3"/>
      <c r="AN22" s="3"/>
      <c r="AO22" s="3"/>
      <c r="AP22" s="3"/>
      <c r="AQ22" s="3"/>
      <c r="AR22" s="3"/>
    </row>
    <row r="23" spans="1:44" x14ac:dyDescent="0.3">
      <c r="A23" s="19" t="s">
        <v>27</v>
      </c>
      <c r="B23" s="19" t="s">
        <v>28</v>
      </c>
      <c r="G23" s="42" t="e">
        <f>AVERAGE(E25:E219)</f>
        <v>#DIV/0!</v>
      </c>
      <c r="AD23">
        <f t="shared" si="6"/>
        <v>0</v>
      </c>
      <c r="AE23" t="e">
        <f t="shared" si="4"/>
        <v>#DIV/0!</v>
      </c>
      <c r="AF23" s="5"/>
      <c r="AG23" s="3"/>
      <c r="AH23" s="3"/>
      <c r="AI23" s="3"/>
      <c r="AJ23" s="3"/>
      <c r="AK23">
        <f t="shared" si="7"/>
        <v>0</v>
      </c>
      <c r="AL23" t="e">
        <f t="shared" si="5"/>
        <v>#DIV/0!</v>
      </c>
      <c r="AM23" s="3"/>
      <c r="AN23" s="3"/>
      <c r="AO23" s="3"/>
      <c r="AP23" s="3"/>
      <c r="AQ23" s="3"/>
      <c r="AR23" s="3"/>
    </row>
    <row r="24" spans="1:44" x14ac:dyDescent="0.3">
      <c r="A24" s="12"/>
      <c r="B24" s="23"/>
      <c r="C24" s="1" t="s">
        <v>29</v>
      </c>
      <c r="D24" s="1" t="s">
        <v>26</v>
      </c>
      <c r="E24" s="1" t="s">
        <v>57</v>
      </c>
      <c r="F24" s="1" t="s">
        <v>21</v>
      </c>
      <c r="H24" t="s">
        <v>25</v>
      </c>
      <c r="I24" s="1"/>
      <c r="J24" s="1" t="s">
        <v>4</v>
      </c>
      <c r="K24" t="s">
        <v>25</v>
      </c>
      <c r="L24" s="1"/>
      <c r="M24" s="1" t="s">
        <v>7</v>
      </c>
      <c r="N24" t="s">
        <v>25</v>
      </c>
      <c r="O24" s="1"/>
      <c r="P24" s="1" t="s">
        <v>8</v>
      </c>
      <c r="Q24" t="s">
        <v>25</v>
      </c>
      <c r="AD24">
        <f t="shared" si="6"/>
        <v>0</v>
      </c>
      <c r="AE24" t="e">
        <f t="shared" si="4"/>
        <v>#DIV/0!</v>
      </c>
      <c r="AF24" s="5"/>
      <c r="AG24" s="3"/>
      <c r="AH24" s="3"/>
      <c r="AI24" s="3"/>
      <c r="AJ24" s="3"/>
      <c r="AK24">
        <f t="shared" si="7"/>
        <v>0</v>
      </c>
      <c r="AL24" t="e">
        <f t="shared" si="5"/>
        <v>#DIV/0!</v>
      </c>
      <c r="AM24" s="3"/>
      <c r="AN24" s="3"/>
      <c r="AO24" s="3"/>
      <c r="AP24" s="3"/>
      <c r="AQ24" s="3"/>
      <c r="AR24" s="3"/>
    </row>
    <row r="25" spans="1:44" x14ac:dyDescent="0.3">
      <c r="A25" s="10"/>
      <c r="B25" s="10"/>
      <c r="C25" s="11"/>
      <c r="D25" s="11"/>
      <c r="E25" s="11" t="e">
        <f>C25/D25</f>
        <v>#DIV/0!</v>
      </c>
      <c r="F25" s="11">
        <f>IA(A25,B25,$F$2,$F$3,$F$4,$F$5,$F$6)+0.01</f>
        <v>0.01</v>
      </c>
      <c r="G25" s="42" t="e">
        <f>totalbinLik($G$23,D25,C25)</f>
        <v>#VALUE!</v>
      </c>
      <c r="H25" s="10" t="e">
        <f>BinLik(D25,C25,F25)</f>
        <v>#VALUE!</v>
      </c>
      <c r="I25" s="11"/>
      <c r="J25" s="11">
        <f>IA_SA(A25,B25,$J$2,$J$3,$J$4,$J$5,$J$6,$J$7)+0.01</f>
        <v>0.01</v>
      </c>
      <c r="K25" s="10" t="e">
        <f>BinLik(D25,C25,J25)</f>
        <v>#VALUE!</v>
      </c>
      <c r="L25" s="11"/>
      <c r="M25" s="11">
        <f>IA_DR(A25,B25,$M$2,$M$3,$M$4,$M$5,$M$6,$M$7,$M$8)+0.01</f>
        <v>0.01</v>
      </c>
      <c r="N25" s="10" t="e">
        <f>BinLik(D25,C25,M25)</f>
        <v>#VALUE!</v>
      </c>
      <c r="O25" s="11"/>
      <c r="P25" s="11">
        <f>IA_DL(A25,B25,$P$2,$P$3,$P$4,$P$5,$P$6,$P$7,$P$8)+0.01</f>
        <v>0.01</v>
      </c>
      <c r="Q25" s="10" t="e">
        <f>BinLik(D25,C25,P25)</f>
        <v>#VALUE!</v>
      </c>
      <c r="R25" s="3" t="s">
        <v>30</v>
      </c>
      <c r="AD25">
        <f t="shared" si="6"/>
        <v>0</v>
      </c>
      <c r="AE25" t="e">
        <f t="shared" si="4"/>
        <v>#DIV/0!</v>
      </c>
      <c r="AF25" s="5"/>
      <c r="AG25" s="3"/>
      <c r="AH25" s="3"/>
      <c r="AI25" s="3"/>
      <c r="AJ25" s="3"/>
      <c r="AK25">
        <f t="shared" si="7"/>
        <v>0</v>
      </c>
      <c r="AL25" t="e">
        <f t="shared" si="5"/>
        <v>#DIV/0!</v>
      </c>
      <c r="AM25" s="3"/>
      <c r="AN25" s="3"/>
      <c r="AO25" s="3"/>
      <c r="AP25" s="3"/>
      <c r="AQ25" s="3"/>
      <c r="AR25" s="3"/>
    </row>
    <row r="26" spans="1:44" x14ac:dyDescent="0.3">
      <c r="A26" s="10"/>
      <c r="B26" s="10"/>
      <c r="C26" s="11"/>
      <c r="D26" s="11"/>
      <c r="E26" s="11"/>
      <c r="F26" s="11"/>
      <c r="H26" s="10"/>
      <c r="I26" s="11"/>
      <c r="J26" s="11"/>
      <c r="K26" s="10"/>
      <c r="L26" s="11"/>
      <c r="M26" s="11"/>
      <c r="N26" s="10"/>
      <c r="O26" s="11"/>
      <c r="P26" s="11"/>
      <c r="Q26" s="10"/>
      <c r="R26" s="3"/>
      <c r="AD26">
        <f t="shared" si="6"/>
        <v>0</v>
      </c>
      <c r="AE26" t="e">
        <f t="shared" si="4"/>
        <v>#DIV/0!</v>
      </c>
      <c r="AF26" s="5"/>
      <c r="AG26" s="3"/>
      <c r="AH26" s="3"/>
      <c r="AI26" s="3"/>
      <c r="AJ26" s="3"/>
      <c r="AK26">
        <f t="shared" si="7"/>
        <v>0</v>
      </c>
      <c r="AL26" t="e">
        <f t="shared" si="5"/>
        <v>#DIV/0!</v>
      </c>
      <c r="AM26" s="3"/>
      <c r="AN26" s="3"/>
      <c r="AO26" s="3"/>
      <c r="AP26" s="3"/>
      <c r="AQ26" s="3"/>
      <c r="AR26" s="3"/>
    </row>
    <row r="27" spans="1:44" x14ac:dyDescent="0.3">
      <c r="A27" s="10"/>
      <c r="B27" s="10"/>
      <c r="C27" s="11"/>
      <c r="D27" s="11"/>
      <c r="E27" s="11"/>
      <c r="F27" s="11"/>
      <c r="H27" s="10"/>
      <c r="I27" s="11"/>
      <c r="J27" s="11"/>
      <c r="K27" s="10"/>
      <c r="L27" s="11"/>
      <c r="M27" s="11"/>
      <c r="N27" s="10"/>
      <c r="O27" s="11"/>
      <c r="P27" s="11"/>
      <c r="Q27" s="10"/>
      <c r="R27" s="3"/>
      <c r="AD27">
        <f t="shared" si="6"/>
        <v>0</v>
      </c>
      <c r="AE27" t="e">
        <f t="shared" si="4"/>
        <v>#DIV/0!</v>
      </c>
      <c r="AF27" s="5"/>
      <c r="AG27" s="3"/>
      <c r="AH27" s="3"/>
      <c r="AI27" s="3"/>
      <c r="AJ27" s="3"/>
      <c r="AK27">
        <f t="shared" si="7"/>
        <v>0</v>
      </c>
      <c r="AL27" t="e">
        <f t="shared" si="5"/>
        <v>#DIV/0!</v>
      </c>
      <c r="AM27" s="3"/>
      <c r="AN27" s="3"/>
      <c r="AO27" s="3"/>
      <c r="AP27" s="3"/>
      <c r="AQ27" s="3"/>
      <c r="AR27" s="3"/>
    </row>
    <row r="28" spans="1:44" x14ac:dyDescent="0.3">
      <c r="A28" s="10"/>
      <c r="B28" s="10"/>
      <c r="C28" s="11"/>
      <c r="D28" s="11"/>
      <c r="E28" s="11"/>
      <c r="F28" s="11"/>
      <c r="H28" s="10"/>
      <c r="I28" s="11"/>
      <c r="J28" s="11"/>
      <c r="K28" s="10"/>
      <c r="L28" s="11"/>
      <c r="M28" s="11"/>
      <c r="N28" s="10"/>
      <c r="O28" s="11"/>
      <c r="P28" s="11"/>
      <c r="Q28" s="10"/>
      <c r="R28" s="3"/>
      <c r="AD28">
        <f t="shared" si="6"/>
        <v>0</v>
      </c>
      <c r="AE28" t="e">
        <f t="shared" si="4"/>
        <v>#DIV/0!</v>
      </c>
      <c r="AF28" s="5"/>
      <c r="AG28" s="3"/>
      <c r="AH28" s="3"/>
      <c r="AI28" s="3"/>
      <c r="AJ28" s="3"/>
      <c r="AK28">
        <f t="shared" si="7"/>
        <v>0</v>
      </c>
      <c r="AL28" t="e">
        <f t="shared" si="5"/>
        <v>#DIV/0!</v>
      </c>
      <c r="AM28" s="3"/>
      <c r="AN28" s="3"/>
      <c r="AO28" s="3"/>
      <c r="AP28" s="3"/>
      <c r="AQ28" s="3"/>
      <c r="AR28" s="3"/>
    </row>
    <row r="29" spans="1:44" x14ac:dyDescent="0.3">
      <c r="A29" s="10"/>
      <c r="B29" s="10"/>
      <c r="C29" s="11"/>
      <c r="D29" s="11"/>
      <c r="E29" s="11"/>
      <c r="F29" s="11"/>
      <c r="H29" s="10"/>
      <c r="I29" s="11"/>
      <c r="J29" s="11"/>
      <c r="K29" s="10"/>
      <c r="L29" s="11"/>
      <c r="M29" s="11"/>
      <c r="N29" s="10"/>
      <c r="O29" s="11"/>
      <c r="P29" s="11"/>
      <c r="Q29" s="10"/>
      <c r="R29" s="3"/>
      <c r="AD29">
        <f t="shared" si="6"/>
        <v>0</v>
      </c>
      <c r="AE29" t="e">
        <f t="shared" si="4"/>
        <v>#DIV/0!</v>
      </c>
      <c r="AF29" s="5"/>
      <c r="AG29" s="3"/>
      <c r="AH29" s="3"/>
      <c r="AI29" s="3"/>
      <c r="AJ29" s="3"/>
      <c r="AK29">
        <f t="shared" si="7"/>
        <v>0</v>
      </c>
      <c r="AL29" t="e">
        <f t="shared" si="5"/>
        <v>#DIV/0!</v>
      </c>
      <c r="AM29" s="3"/>
      <c r="AN29" s="3"/>
      <c r="AO29" s="3"/>
      <c r="AP29" s="3"/>
      <c r="AQ29" s="3"/>
      <c r="AR29" s="3"/>
    </row>
    <row r="30" spans="1:44" x14ac:dyDescent="0.3">
      <c r="A30" s="10"/>
      <c r="B30" s="10"/>
      <c r="C30" s="11"/>
      <c r="D30" s="11"/>
      <c r="E30" s="11"/>
      <c r="F30" s="11"/>
      <c r="H30" s="10"/>
      <c r="I30" s="11"/>
      <c r="J30" s="11"/>
      <c r="K30" s="10"/>
      <c r="L30" s="11"/>
      <c r="M30" s="11"/>
      <c r="N30" s="10"/>
      <c r="O30" s="11"/>
      <c r="P30" s="11"/>
      <c r="Q30" s="10"/>
      <c r="R30" s="3"/>
      <c r="AD30">
        <f t="shared" si="6"/>
        <v>0</v>
      </c>
      <c r="AE30" t="e">
        <f t="shared" si="4"/>
        <v>#DIV/0!</v>
      </c>
      <c r="AF30" s="5"/>
      <c r="AG30" s="3"/>
      <c r="AH30" s="3"/>
      <c r="AI30" s="3"/>
      <c r="AJ30" s="3"/>
      <c r="AK30">
        <f t="shared" si="7"/>
        <v>0</v>
      </c>
      <c r="AL30" t="e">
        <f t="shared" si="5"/>
        <v>#DIV/0!</v>
      </c>
      <c r="AM30" s="3"/>
      <c r="AN30" s="3"/>
      <c r="AO30" s="3"/>
      <c r="AP30" s="3"/>
      <c r="AQ30" s="3"/>
      <c r="AR30" s="3"/>
    </row>
    <row r="31" spans="1:44" x14ac:dyDescent="0.3">
      <c r="A31" s="10"/>
      <c r="B31" s="10"/>
      <c r="C31" s="11"/>
      <c r="D31" s="11"/>
      <c r="E31" s="11"/>
      <c r="F31" s="11"/>
      <c r="H31" s="10"/>
      <c r="I31" s="11"/>
      <c r="J31" s="11"/>
      <c r="K31" s="10"/>
      <c r="L31" s="11"/>
      <c r="M31" s="11"/>
      <c r="N31" s="10"/>
      <c r="O31" s="11"/>
      <c r="P31" s="11"/>
      <c r="Q31" s="10"/>
      <c r="R31" s="3"/>
      <c r="AD31">
        <f>$AD$2</f>
        <v>0</v>
      </c>
      <c r="AE31" t="e">
        <f t="shared" si="4"/>
        <v>#DIV/0!</v>
      </c>
      <c r="AF31" s="5"/>
      <c r="AG31" s="3"/>
      <c r="AH31" s="3"/>
      <c r="AI31" s="3"/>
      <c r="AJ31" s="3"/>
      <c r="AK31">
        <f>$AL$2</f>
        <v>0</v>
      </c>
      <c r="AL31" t="e">
        <f t="shared" si="5"/>
        <v>#DIV/0!</v>
      </c>
      <c r="AM31" s="3"/>
      <c r="AN31" s="3"/>
      <c r="AO31" s="3"/>
      <c r="AP31" s="3"/>
      <c r="AQ31" s="3"/>
      <c r="AR31" s="3"/>
    </row>
    <row r="32" spans="1:44" x14ac:dyDescent="0.3">
      <c r="A32" s="10"/>
      <c r="B32" s="10"/>
      <c r="C32" s="11"/>
      <c r="D32" s="11"/>
      <c r="E32" s="11"/>
      <c r="F32" s="11"/>
      <c r="H32" s="10"/>
      <c r="I32" s="11"/>
      <c r="J32" s="11"/>
      <c r="K32" s="10"/>
      <c r="L32" s="11"/>
      <c r="M32" s="11"/>
      <c r="N32" s="10"/>
      <c r="O32" s="11"/>
      <c r="P32" s="11"/>
      <c r="Q32" s="10"/>
      <c r="R32" s="3"/>
      <c r="AD32">
        <f>AD31*$AF$1</f>
        <v>0</v>
      </c>
      <c r="AE32" t="e">
        <f t="shared" si="4"/>
        <v>#DIV/0!</v>
      </c>
      <c r="AF32" s="5"/>
      <c r="AG32" s="3"/>
      <c r="AH32" s="3"/>
      <c r="AI32" s="3"/>
      <c r="AJ32" s="3"/>
      <c r="AK32">
        <f>AK31*$AO$1</f>
        <v>0</v>
      </c>
      <c r="AL32" t="e">
        <f t="shared" si="5"/>
        <v>#DIV/0!</v>
      </c>
      <c r="AM32" s="3"/>
      <c r="AN32" s="3"/>
      <c r="AO32" s="3"/>
      <c r="AP32" s="3"/>
      <c r="AQ32" s="3"/>
      <c r="AR32" s="3"/>
    </row>
    <row r="33" spans="1:44" x14ac:dyDescent="0.3">
      <c r="A33" s="10"/>
      <c r="B33" s="10"/>
      <c r="C33" s="11"/>
      <c r="D33" s="11"/>
      <c r="E33" s="11"/>
      <c r="F33" s="11"/>
      <c r="H33" s="10"/>
      <c r="I33" s="11"/>
      <c r="J33" s="11"/>
      <c r="K33" s="10"/>
      <c r="L33" s="11"/>
      <c r="M33" s="11"/>
      <c r="N33" s="10"/>
      <c r="O33" s="11"/>
      <c r="P33" s="11"/>
      <c r="Q33" s="10"/>
      <c r="R33" s="3"/>
      <c r="AF33" s="5"/>
      <c r="AG33" s="3"/>
      <c r="AH33" s="3"/>
      <c r="AI33" s="3"/>
      <c r="AJ33" s="3"/>
      <c r="AM33" s="3"/>
      <c r="AN33" s="3"/>
      <c r="AO33" s="3"/>
      <c r="AP33" s="3"/>
      <c r="AQ33" s="3"/>
      <c r="AR33" s="3"/>
    </row>
    <row r="34" spans="1:44" x14ac:dyDescent="0.3">
      <c r="A34" s="10"/>
      <c r="B34" s="10"/>
      <c r="C34" s="11"/>
      <c r="D34" s="11"/>
      <c r="E34" s="11"/>
      <c r="F34" s="11"/>
      <c r="H34" s="10"/>
      <c r="I34" s="11"/>
      <c r="J34" s="11"/>
      <c r="K34" s="10"/>
      <c r="L34" s="11"/>
      <c r="M34" s="11"/>
      <c r="N34" s="10"/>
      <c r="O34" s="11"/>
      <c r="P34" s="11"/>
      <c r="Q34" s="10"/>
      <c r="R34" s="3"/>
      <c r="AD34" s="5"/>
      <c r="AE34" s="5"/>
      <c r="AF34" s="5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</row>
    <row r="35" spans="1:44" x14ac:dyDescent="0.3">
      <c r="A35" s="10"/>
      <c r="B35" s="10"/>
      <c r="C35" s="11"/>
      <c r="D35" s="11"/>
      <c r="E35" s="11"/>
      <c r="F35" s="11"/>
      <c r="H35" s="10"/>
      <c r="I35" s="11"/>
      <c r="J35" s="11"/>
      <c r="K35" s="10"/>
      <c r="L35" s="11"/>
      <c r="M35" s="11"/>
      <c r="N35" s="10"/>
      <c r="O35" s="11"/>
      <c r="P35" s="11"/>
      <c r="Q35" s="10"/>
      <c r="AD35" s="5"/>
      <c r="AE35" s="5"/>
      <c r="AF35" s="5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</row>
    <row r="36" spans="1:44" x14ac:dyDescent="0.3">
      <c r="A36" s="10"/>
      <c r="B36" s="10"/>
      <c r="C36" s="11"/>
      <c r="D36" s="11"/>
      <c r="E36" s="11"/>
      <c r="F36" s="11"/>
      <c r="H36" s="10"/>
      <c r="I36" s="11"/>
      <c r="J36" s="11"/>
      <c r="K36" s="10"/>
      <c r="L36" s="11"/>
      <c r="M36" s="11"/>
      <c r="N36" s="10"/>
      <c r="O36" s="11"/>
      <c r="P36" s="11"/>
      <c r="Q36" s="10"/>
      <c r="R36" s="3"/>
      <c r="AF36" s="5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</row>
    <row r="37" spans="1:44" x14ac:dyDescent="0.3">
      <c r="A37" s="10"/>
      <c r="B37" s="10"/>
      <c r="C37" s="11"/>
      <c r="D37" s="11"/>
      <c r="E37" s="11"/>
      <c r="F37" s="11"/>
      <c r="H37" s="10"/>
      <c r="I37" s="11"/>
      <c r="J37" s="11"/>
      <c r="K37" s="10"/>
      <c r="L37" s="11"/>
      <c r="M37" s="11"/>
      <c r="N37" s="10"/>
      <c r="O37" s="11"/>
      <c r="P37" s="11"/>
      <c r="Q37" s="10"/>
      <c r="R37" s="3"/>
      <c r="AD37">
        <v>0</v>
      </c>
      <c r="AE37" t="e">
        <f t="shared" ref="AE37:AE49" si="8">$M$2/(1+(AD37/$M$5)^$M$3)</f>
        <v>#DIV/0!</v>
      </c>
      <c r="AF37" s="5"/>
      <c r="AG37" s="3"/>
      <c r="AH37" s="3"/>
      <c r="AI37" s="3"/>
      <c r="AJ37" s="3"/>
      <c r="AL37" t="s">
        <v>0</v>
      </c>
      <c r="AM37" s="3"/>
      <c r="AN37" s="3"/>
      <c r="AO37" s="3"/>
      <c r="AP37" s="3"/>
      <c r="AQ37" s="3"/>
      <c r="AR37" s="3"/>
    </row>
    <row r="38" spans="1:44" x14ac:dyDescent="0.3">
      <c r="A38" s="10"/>
      <c r="B38" s="10"/>
      <c r="C38" s="11"/>
      <c r="D38" s="11"/>
      <c r="E38" s="11"/>
      <c r="F38" s="11"/>
      <c r="H38" s="10"/>
      <c r="I38" s="11"/>
      <c r="J38" s="11"/>
      <c r="K38" s="10"/>
      <c r="L38" s="11"/>
      <c r="M38" s="11"/>
      <c r="N38" s="10"/>
      <c r="O38" s="11"/>
      <c r="P38" s="11"/>
      <c r="Q38" s="10"/>
      <c r="R38" s="3"/>
      <c r="AD38">
        <f t="shared" ref="AD38:AD47" si="9">AD39/$AF$1</f>
        <v>0</v>
      </c>
      <c r="AE38" t="e">
        <f t="shared" si="8"/>
        <v>#DIV/0!</v>
      </c>
      <c r="AF38" s="5"/>
      <c r="AG38" s="3"/>
      <c r="AH38" s="3"/>
      <c r="AI38" s="3"/>
      <c r="AJ38" s="3"/>
      <c r="AK38">
        <v>0</v>
      </c>
      <c r="AL38" t="e">
        <f t="shared" ref="AL38:AL50" si="10">$M$2/(1+(AK38/$M$6)^$M$4)</f>
        <v>#DIV/0!</v>
      </c>
      <c r="AM38" s="3"/>
      <c r="AN38" s="3"/>
      <c r="AO38" s="3"/>
      <c r="AP38" s="3"/>
      <c r="AQ38" s="3"/>
      <c r="AR38" s="3"/>
    </row>
    <row r="39" spans="1:44" x14ac:dyDescent="0.3">
      <c r="A39" s="10"/>
      <c r="B39" s="10"/>
      <c r="C39" s="11"/>
      <c r="D39" s="11"/>
      <c r="E39" s="11"/>
      <c r="F39" s="11"/>
      <c r="H39" s="10"/>
      <c r="I39" s="11"/>
      <c r="J39" s="11"/>
      <c r="K39" s="10"/>
      <c r="L39" s="11"/>
      <c r="M39" s="11"/>
      <c r="N39" s="10"/>
      <c r="O39" s="11"/>
      <c r="P39" s="11"/>
      <c r="Q39" s="10"/>
      <c r="R39" s="3"/>
      <c r="AD39">
        <f t="shared" si="9"/>
        <v>0</v>
      </c>
      <c r="AE39" t="e">
        <f t="shared" si="8"/>
        <v>#DIV/0!</v>
      </c>
      <c r="AF39" s="5"/>
      <c r="AG39" s="3"/>
      <c r="AH39" s="3"/>
      <c r="AI39" s="3"/>
      <c r="AJ39" s="3"/>
      <c r="AK39">
        <f t="shared" ref="AK39:AK48" si="11">AK40/$AO$1</f>
        <v>0</v>
      </c>
      <c r="AL39" t="e">
        <f t="shared" si="10"/>
        <v>#DIV/0!</v>
      </c>
      <c r="AM39" s="3"/>
      <c r="AN39" s="3"/>
      <c r="AO39" s="3"/>
      <c r="AP39" s="3"/>
      <c r="AQ39" s="3"/>
      <c r="AR39" s="3"/>
    </row>
    <row r="40" spans="1:44" x14ac:dyDescent="0.3">
      <c r="A40" s="12"/>
      <c r="B40" s="12"/>
      <c r="C40" s="13"/>
      <c r="D40" s="13"/>
      <c r="E40" s="13" t="e">
        <f>C40/D40</f>
        <v>#DIV/0!</v>
      </c>
      <c r="F40" s="13">
        <f>IA(A40,B40,$F$2,$F$3,$F$4,$F$5,$F$6)+0.01</f>
        <v>0.01</v>
      </c>
      <c r="G40" s="42" t="e">
        <f>totalbinLik($G$23,D40,C40)</f>
        <v>#VALUE!</v>
      </c>
      <c r="H40" s="13" t="e">
        <f>BinLik(D40,C40,F40)</f>
        <v>#VALUE!</v>
      </c>
      <c r="I40" s="13"/>
      <c r="J40" s="13">
        <f>IA_SA(A40,B40,$J$2,$J$3,$J$4,$J$5,$J$6,$J$7)+0.01</f>
        <v>0.01</v>
      </c>
      <c r="K40" s="13" t="e">
        <f>BinLik(D40,C40,J40)</f>
        <v>#VALUE!</v>
      </c>
      <c r="L40" s="13"/>
      <c r="M40" s="13">
        <f>IA_DR(A40,B40,$M$2,$M$3,$M$4,$M$5,$M$6,$M$7,$M$8)+0.01</f>
        <v>0.01</v>
      </c>
      <c r="N40" s="13" t="e">
        <f>BinLik(D40,C40,M40)</f>
        <v>#VALUE!</v>
      </c>
      <c r="O40" s="13"/>
      <c r="P40" s="13">
        <f>IA_DL(A40,B40,$P$2,$P$3,$P$4,$P$5,$P$6,$P$7,$P$8)+0.01</f>
        <v>0.01</v>
      </c>
      <c r="Q40" s="13" t="e">
        <f>BinLik(D40,C40,P40)</f>
        <v>#VALUE!</v>
      </c>
      <c r="R40" s="3" t="s">
        <v>31</v>
      </c>
      <c r="AD40">
        <f t="shared" si="9"/>
        <v>0</v>
      </c>
      <c r="AE40" t="e">
        <f t="shared" si="8"/>
        <v>#DIV/0!</v>
      </c>
      <c r="AF40" s="5"/>
      <c r="AG40" s="3"/>
      <c r="AH40" s="3"/>
      <c r="AI40" s="3"/>
      <c r="AJ40" s="3"/>
      <c r="AK40">
        <f t="shared" si="11"/>
        <v>0</v>
      </c>
      <c r="AL40" t="e">
        <f t="shared" si="10"/>
        <v>#DIV/0!</v>
      </c>
      <c r="AM40" s="3"/>
      <c r="AN40" s="3"/>
      <c r="AO40" s="3"/>
      <c r="AP40" s="3"/>
      <c r="AQ40" s="3"/>
      <c r="AR40" s="3"/>
    </row>
    <row r="41" spans="1:44" x14ac:dyDescent="0.3">
      <c r="A41" s="12"/>
      <c r="B41" s="12"/>
      <c r="C41" s="13"/>
      <c r="D41" s="13"/>
      <c r="E41" s="13"/>
      <c r="F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3"/>
      <c r="AD41">
        <f t="shared" si="9"/>
        <v>0</v>
      </c>
      <c r="AE41" t="e">
        <f t="shared" si="8"/>
        <v>#DIV/0!</v>
      </c>
      <c r="AF41" s="5"/>
      <c r="AG41" s="3"/>
      <c r="AH41" s="3"/>
      <c r="AI41" s="3"/>
      <c r="AJ41" s="3"/>
      <c r="AK41">
        <f t="shared" si="11"/>
        <v>0</v>
      </c>
      <c r="AL41" t="e">
        <f t="shared" si="10"/>
        <v>#DIV/0!</v>
      </c>
      <c r="AM41" s="3"/>
      <c r="AN41" s="3"/>
      <c r="AO41" s="3"/>
      <c r="AP41" s="3"/>
      <c r="AQ41" s="3"/>
      <c r="AR41" s="3"/>
    </row>
    <row r="42" spans="1:44" x14ac:dyDescent="0.3">
      <c r="A42" s="12"/>
      <c r="B42" s="12"/>
      <c r="C42" s="13"/>
      <c r="D42" s="13"/>
      <c r="E42" s="13"/>
      <c r="F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3"/>
      <c r="AD42">
        <f t="shared" si="9"/>
        <v>0</v>
      </c>
      <c r="AE42" t="e">
        <f t="shared" si="8"/>
        <v>#DIV/0!</v>
      </c>
      <c r="AF42" s="5"/>
      <c r="AG42" s="3"/>
      <c r="AH42" s="3"/>
      <c r="AI42" s="3"/>
      <c r="AJ42" s="3"/>
      <c r="AK42">
        <f t="shared" si="11"/>
        <v>0</v>
      </c>
      <c r="AL42" t="e">
        <f t="shared" si="10"/>
        <v>#DIV/0!</v>
      </c>
      <c r="AM42" s="3"/>
      <c r="AN42" s="3"/>
      <c r="AO42" s="3"/>
      <c r="AP42" s="3"/>
      <c r="AQ42" s="3"/>
      <c r="AR42" s="3"/>
    </row>
    <row r="43" spans="1:44" x14ac:dyDescent="0.3">
      <c r="A43" s="12"/>
      <c r="B43" s="12"/>
      <c r="C43" s="13"/>
      <c r="D43" s="13"/>
      <c r="E43" s="13"/>
      <c r="F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3"/>
      <c r="AD43">
        <f t="shared" si="9"/>
        <v>0</v>
      </c>
      <c r="AE43" t="e">
        <f t="shared" si="8"/>
        <v>#DIV/0!</v>
      </c>
      <c r="AF43" s="5"/>
      <c r="AG43" s="3"/>
      <c r="AH43" s="3"/>
      <c r="AI43" s="3"/>
      <c r="AJ43" s="3"/>
      <c r="AK43">
        <f t="shared" si="11"/>
        <v>0</v>
      </c>
      <c r="AL43" t="e">
        <f t="shared" si="10"/>
        <v>#DIV/0!</v>
      </c>
      <c r="AM43" s="3"/>
      <c r="AN43" s="3"/>
      <c r="AO43" s="3"/>
      <c r="AP43" s="3"/>
      <c r="AQ43" s="3"/>
      <c r="AR43" s="3"/>
    </row>
    <row r="44" spans="1:44" x14ac:dyDescent="0.3">
      <c r="A44" s="12"/>
      <c r="B44" s="12"/>
      <c r="C44" s="13"/>
      <c r="D44" s="13"/>
      <c r="E44" s="13"/>
      <c r="F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3"/>
      <c r="AD44">
        <f t="shared" si="9"/>
        <v>0</v>
      </c>
      <c r="AE44" t="e">
        <f t="shared" si="8"/>
        <v>#DIV/0!</v>
      </c>
      <c r="AF44" s="5"/>
      <c r="AG44" s="3"/>
      <c r="AH44" s="3"/>
      <c r="AI44" s="3"/>
      <c r="AJ44" s="3"/>
      <c r="AK44">
        <f t="shared" si="11"/>
        <v>0</v>
      </c>
      <c r="AL44" t="e">
        <f t="shared" si="10"/>
        <v>#DIV/0!</v>
      </c>
      <c r="AM44" s="3"/>
      <c r="AN44" s="3"/>
      <c r="AO44" s="3"/>
      <c r="AP44" s="3"/>
      <c r="AQ44" s="3"/>
      <c r="AR44" s="3"/>
    </row>
    <row r="45" spans="1:44" x14ac:dyDescent="0.3">
      <c r="A45" s="12"/>
      <c r="B45" s="12"/>
      <c r="C45" s="13"/>
      <c r="D45" s="13"/>
      <c r="E45" s="13"/>
      <c r="F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3"/>
      <c r="AD45">
        <f t="shared" si="9"/>
        <v>0</v>
      </c>
      <c r="AE45" t="e">
        <f t="shared" si="8"/>
        <v>#DIV/0!</v>
      </c>
      <c r="AF45" s="5"/>
      <c r="AG45" s="3"/>
      <c r="AH45" s="3"/>
      <c r="AI45" s="3"/>
      <c r="AJ45" s="3"/>
      <c r="AK45">
        <f t="shared" si="11"/>
        <v>0</v>
      </c>
      <c r="AL45" t="e">
        <f t="shared" si="10"/>
        <v>#DIV/0!</v>
      </c>
      <c r="AM45" s="3"/>
      <c r="AN45" s="3"/>
      <c r="AO45" s="3"/>
      <c r="AP45" s="3"/>
      <c r="AQ45" s="3"/>
      <c r="AR45" s="3"/>
    </row>
    <row r="46" spans="1:44" x14ac:dyDescent="0.3">
      <c r="A46" s="12"/>
      <c r="B46" s="12"/>
      <c r="C46" s="13"/>
      <c r="D46" s="13"/>
      <c r="E46" s="13"/>
      <c r="F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3"/>
      <c r="AD46">
        <f t="shared" si="9"/>
        <v>0</v>
      </c>
      <c r="AE46" t="e">
        <f t="shared" si="8"/>
        <v>#DIV/0!</v>
      </c>
      <c r="AF46" s="5"/>
      <c r="AG46" s="3"/>
      <c r="AH46" s="3"/>
      <c r="AI46" s="3"/>
      <c r="AJ46" s="3"/>
      <c r="AK46">
        <f t="shared" si="11"/>
        <v>0</v>
      </c>
      <c r="AL46" t="e">
        <f t="shared" si="10"/>
        <v>#DIV/0!</v>
      </c>
      <c r="AM46" s="3"/>
      <c r="AN46" s="3"/>
      <c r="AO46" s="3"/>
      <c r="AP46" s="3"/>
      <c r="AQ46" s="3"/>
      <c r="AR46" s="3"/>
    </row>
    <row r="47" spans="1:44" x14ac:dyDescent="0.3">
      <c r="A47" s="12"/>
      <c r="B47" s="12"/>
      <c r="C47" s="13"/>
      <c r="D47" s="13"/>
      <c r="E47" s="13"/>
      <c r="F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3"/>
      <c r="AD47">
        <f t="shared" si="9"/>
        <v>0</v>
      </c>
      <c r="AE47" t="e">
        <f t="shared" si="8"/>
        <v>#DIV/0!</v>
      </c>
      <c r="AF47" s="5"/>
      <c r="AG47" s="3"/>
      <c r="AH47" s="3"/>
      <c r="AI47" s="3"/>
      <c r="AJ47" s="3"/>
      <c r="AK47">
        <f t="shared" si="11"/>
        <v>0</v>
      </c>
      <c r="AL47" t="e">
        <f t="shared" si="10"/>
        <v>#DIV/0!</v>
      </c>
      <c r="AM47" s="3"/>
      <c r="AN47" s="3"/>
      <c r="AO47" s="3"/>
      <c r="AP47" s="3"/>
      <c r="AQ47" s="3"/>
      <c r="AR47" s="3"/>
    </row>
    <row r="48" spans="1:44" x14ac:dyDescent="0.3">
      <c r="A48" s="12"/>
      <c r="B48" s="12"/>
      <c r="C48" s="13"/>
      <c r="D48" s="13"/>
      <c r="E48" s="13"/>
      <c r="F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3"/>
      <c r="AD48">
        <f>$AD$2</f>
        <v>0</v>
      </c>
      <c r="AE48" t="e">
        <f t="shared" si="8"/>
        <v>#DIV/0!</v>
      </c>
      <c r="AF48" s="5"/>
      <c r="AG48" s="3"/>
      <c r="AH48" s="3"/>
      <c r="AI48" s="3"/>
      <c r="AJ48" s="3"/>
      <c r="AK48">
        <f t="shared" si="11"/>
        <v>0</v>
      </c>
      <c r="AL48" t="e">
        <f t="shared" si="10"/>
        <v>#DIV/0!</v>
      </c>
      <c r="AM48" s="3"/>
      <c r="AN48" s="3"/>
      <c r="AO48" s="3"/>
      <c r="AP48" s="3"/>
      <c r="AQ48" s="3"/>
      <c r="AR48" s="3"/>
    </row>
    <row r="49" spans="1:44" x14ac:dyDescent="0.3">
      <c r="A49" s="12"/>
      <c r="B49" s="12"/>
      <c r="C49" s="13"/>
      <c r="D49" s="13"/>
      <c r="E49" s="13"/>
      <c r="F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3"/>
      <c r="AD49" s="5">
        <f>AD48*$AF$1</f>
        <v>0</v>
      </c>
      <c r="AE49" s="5" t="e">
        <f t="shared" si="8"/>
        <v>#DIV/0!</v>
      </c>
      <c r="AF49" s="5"/>
      <c r="AG49" s="3"/>
      <c r="AH49" s="3"/>
      <c r="AI49" s="3"/>
      <c r="AJ49" s="3"/>
      <c r="AK49">
        <f>$AL$2</f>
        <v>0</v>
      </c>
      <c r="AL49" t="e">
        <f t="shared" si="10"/>
        <v>#DIV/0!</v>
      </c>
      <c r="AM49" s="3"/>
      <c r="AN49" s="3"/>
      <c r="AO49" s="3"/>
      <c r="AP49" s="3"/>
      <c r="AQ49" s="3"/>
      <c r="AR49" s="3"/>
    </row>
    <row r="50" spans="1:44" x14ac:dyDescent="0.3">
      <c r="A50" s="12"/>
      <c r="B50" s="12"/>
      <c r="C50" s="13"/>
      <c r="D50" s="13"/>
      <c r="E50" s="13"/>
      <c r="F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3"/>
      <c r="AD50" s="5"/>
      <c r="AE50" s="5"/>
      <c r="AF50" s="5"/>
      <c r="AG50" s="3"/>
      <c r="AH50" s="3"/>
      <c r="AI50" s="3"/>
      <c r="AJ50" s="3"/>
      <c r="AK50" s="3">
        <f>AK49*$AO$1</f>
        <v>0</v>
      </c>
      <c r="AL50" s="3" t="e">
        <f t="shared" si="10"/>
        <v>#DIV/0!</v>
      </c>
      <c r="AM50" s="3"/>
      <c r="AN50" s="3"/>
      <c r="AO50" s="3"/>
      <c r="AP50" s="3"/>
      <c r="AQ50" s="3"/>
      <c r="AR50" s="3"/>
    </row>
    <row r="51" spans="1:44" x14ac:dyDescent="0.3">
      <c r="A51" s="12"/>
      <c r="B51" s="12"/>
      <c r="C51" s="13"/>
      <c r="D51" s="13"/>
      <c r="E51" s="13"/>
      <c r="F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3"/>
      <c r="AD51" s="5"/>
      <c r="AE51" s="5"/>
      <c r="AF51" s="5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</row>
    <row r="52" spans="1:44" x14ac:dyDescent="0.3">
      <c r="A52" s="12"/>
      <c r="B52" s="12"/>
      <c r="C52" s="13"/>
      <c r="D52" s="13"/>
      <c r="E52" s="13"/>
      <c r="F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3"/>
      <c r="AD52" s="5"/>
      <c r="AE52" s="5"/>
      <c r="AF52" s="5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</row>
    <row r="53" spans="1:44" x14ac:dyDescent="0.3">
      <c r="A53" s="12"/>
      <c r="B53" s="12"/>
      <c r="C53" s="13"/>
      <c r="D53" s="13"/>
      <c r="E53" s="13"/>
      <c r="F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3"/>
      <c r="AF53" s="5"/>
      <c r="AG53" s="3"/>
      <c r="AH53" s="3"/>
      <c r="AI53" s="3"/>
      <c r="AJ53" s="3"/>
      <c r="AM53" s="3"/>
      <c r="AN53" s="3"/>
      <c r="AO53" s="3"/>
      <c r="AP53" s="3"/>
      <c r="AQ53" s="3"/>
      <c r="AR53" s="3"/>
    </row>
    <row r="54" spans="1:44" x14ac:dyDescent="0.3">
      <c r="A54" s="12"/>
      <c r="B54" s="12"/>
      <c r="C54" s="13"/>
      <c r="D54" s="13"/>
      <c r="E54" s="13"/>
      <c r="F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3"/>
      <c r="AD54">
        <v>0</v>
      </c>
      <c r="AE54" t="e">
        <f t="shared" ref="AE54:AE66" si="12">$P$2/(1+(AD54/$P$5)^$P$3)</f>
        <v>#DIV/0!</v>
      </c>
      <c r="AF54" s="5"/>
      <c r="AG54" s="3"/>
      <c r="AH54" s="3"/>
      <c r="AI54" s="3"/>
      <c r="AJ54" s="3"/>
      <c r="AK54">
        <v>0</v>
      </c>
      <c r="AL54" t="e">
        <f t="shared" ref="AL54:AL66" si="13">$P$2/(1+(AK54/$P$6)^$P$4)</f>
        <v>#DIV/0!</v>
      </c>
      <c r="AM54" s="3"/>
      <c r="AN54" s="3"/>
      <c r="AO54" s="3"/>
      <c r="AP54" s="3"/>
      <c r="AQ54" s="3"/>
      <c r="AR54" s="3"/>
    </row>
    <row r="55" spans="1:44" x14ac:dyDescent="0.3">
      <c r="A55" s="12"/>
      <c r="B55" s="12"/>
      <c r="C55" s="13"/>
      <c r="D55" s="13"/>
      <c r="E55" s="13"/>
      <c r="F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3"/>
      <c r="AD55">
        <f t="shared" ref="AD55:AD64" si="14">AD56/$AF$1</f>
        <v>0</v>
      </c>
      <c r="AE55" t="e">
        <f t="shared" si="12"/>
        <v>#DIV/0!</v>
      </c>
      <c r="AF55" s="5"/>
      <c r="AG55" s="3"/>
      <c r="AH55" s="3"/>
      <c r="AI55" s="3"/>
      <c r="AJ55" s="3"/>
      <c r="AK55">
        <f t="shared" ref="AK55:AK64" si="15">AK56/$AO$1</f>
        <v>0</v>
      </c>
      <c r="AL55" t="e">
        <f t="shared" si="13"/>
        <v>#DIV/0!</v>
      </c>
      <c r="AM55" s="3"/>
      <c r="AN55" s="3"/>
      <c r="AO55" s="3"/>
      <c r="AP55" s="3"/>
      <c r="AQ55" s="3"/>
      <c r="AR55" s="3"/>
    </row>
    <row r="56" spans="1:44" x14ac:dyDescent="0.3">
      <c r="A56" s="12"/>
      <c r="B56" s="12"/>
      <c r="C56" s="13"/>
      <c r="D56" s="13"/>
      <c r="E56" s="13"/>
      <c r="F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3"/>
      <c r="AD56">
        <f t="shared" si="14"/>
        <v>0</v>
      </c>
      <c r="AE56" t="e">
        <f t="shared" si="12"/>
        <v>#DIV/0!</v>
      </c>
      <c r="AF56" s="5"/>
      <c r="AG56" s="3"/>
      <c r="AH56" s="3"/>
      <c r="AI56" s="3"/>
      <c r="AJ56" s="3"/>
      <c r="AK56">
        <f t="shared" si="15"/>
        <v>0</v>
      </c>
      <c r="AL56" t="e">
        <f t="shared" si="13"/>
        <v>#DIV/0!</v>
      </c>
      <c r="AM56" s="3"/>
      <c r="AN56" s="3"/>
      <c r="AO56" s="3"/>
      <c r="AP56" s="3"/>
      <c r="AQ56" s="3"/>
      <c r="AR56" s="3"/>
    </row>
    <row r="57" spans="1:44" x14ac:dyDescent="0.3">
      <c r="A57" s="12"/>
      <c r="B57" s="12"/>
      <c r="C57" s="13"/>
      <c r="D57" s="13"/>
      <c r="E57" s="13"/>
      <c r="F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3"/>
      <c r="AD57">
        <f t="shared" si="14"/>
        <v>0</v>
      </c>
      <c r="AE57" t="e">
        <f t="shared" si="12"/>
        <v>#DIV/0!</v>
      </c>
      <c r="AF57" s="5"/>
      <c r="AG57" s="3"/>
      <c r="AH57" s="3"/>
      <c r="AI57" s="3"/>
      <c r="AJ57" s="3"/>
      <c r="AK57">
        <f t="shared" si="15"/>
        <v>0</v>
      </c>
      <c r="AL57" t="e">
        <f t="shared" si="13"/>
        <v>#DIV/0!</v>
      </c>
      <c r="AM57" s="3"/>
      <c r="AN57" s="3"/>
      <c r="AO57" s="3"/>
      <c r="AP57" s="3"/>
      <c r="AQ57" s="3"/>
      <c r="AR57" s="3"/>
    </row>
    <row r="58" spans="1:44" x14ac:dyDescent="0.3">
      <c r="A58" s="12"/>
      <c r="B58" s="12"/>
      <c r="C58" s="13"/>
      <c r="D58" s="13"/>
      <c r="E58" s="13"/>
      <c r="F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3"/>
      <c r="AD58">
        <f t="shared" si="14"/>
        <v>0</v>
      </c>
      <c r="AE58" t="e">
        <f t="shared" si="12"/>
        <v>#DIV/0!</v>
      </c>
      <c r="AF58" s="5"/>
      <c r="AG58" s="3"/>
      <c r="AH58" s="3"/>
      <c r="AI58" s="3"/>
      <c r="AJ58" s="3"/>
      <c r="AK58">
        <f t="shared" si="15"/>
        <v>0</v>
      </c>
      <c r="AL58" t="e">
        <f t="shared" si="13"/>
        <v>#DIV/0!</v>
      </c>
      <c r="AM58" s="3"/>
      <c r="AN58" s="3"/>
      <c r="AO58" s="3"/>
      <c r="AP58" s="3"/>
      <c r="AQ58" s="3"/>
      <c r="AR58" s="3"/>
    </row>
    <row r="59" spans="1:44" x14ac:dyDescent="0.3">
      <c r="A59" s="12"/>
      <c r="B59" s="12"/>
      <c r="C59" s="13"/>
      <c r="D59" s="13"/>
      <c r="E59" s="13"/>
      <c r="F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3"/>
      <c r="AD59">
        <f t="shared" si="14"/>
        <v>0</v>
      </c>
      <c r="AE59" t="e">
        <f t="shared" si="12"/>
        <v>#DIV/0!</v>
      </c>
      <c r="AF59" s="5"/>
      <c r="AG59" s="3"/>
      <c r="AH59" s="3"/>
      <c r="AI59" s="3"/>
      <c r="AJ59" s="3"/>
      <c r="AK59">
        <f t="shared" si="15"/>
        <v>0</v>
      </c>
      <c r="AL59" t="e">
        <f t="shared" si="13"/>
        <v>#DIV/0!</v>
      </c>
      <c r="AM59" s="3"/>
      <c r="AN59" s="3"/>
      <c r="AO59" s="3"/>
      <c r="AP59" s="3"/>
      <c r="AQ59" s="3"/>
      <c r="AR59" s="3"/>
    </row>
    <row r="60" spans="1:44" x14ac:dyDescent="0.3">
      <c r="A60" s="12"/>
      <c r="B60" s="12"/>
      <c r="C60" s="13"/>
      <c r="D60" s="13"/>
      <c r="E60" s="13"/>
      <c r="F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3"/>
      <c r="AD60">
        <f t="shared" si="14"/>
        <v>0</v>
      </c>
      <c r="AE60" t="e">
        <f t="shared" si="12"/>
        <v>#DIV/0!</v>
      </c>
      <c r="AF60" s="5"/>
      <c r="AG60" s="3"/>
      <c r="AH60" s="3"/>
      <c r="AI60" s="3"/>
      <c r="AJ60" s="3"/>
      <c r="AK60">
        <f t="shared" si="15"/>
        <v>0</v>
      </c>
      <c r="AL60" t="e">
        <f t="shared" si="13"/>
        <v>#DIV/0!</v>
      </c>
      <c r="AM60" s="3"/>
      <c r="AN60" s="3"/>
      <c r="AO60" s="3"/>
      <c r="AP60" s="3"/>
      <c r="AQ60" s="3"/>
      <c r="AR60" s="3"/>
    </row>
    <row r="61" spans="1:44" x14ac:dyDescent="0.3">
      <c r="A61" s="12"/>
      <c r="B61" s="12"/>
      <c r="C61" s="13"/>
      <c r="D61" s="13"/>
      <c r="E61" s="13"/>
      <c r="F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3"/>
      <c r="AD61">
        <f t="shared" si="14"/>
        <v>0</v>
      </c>
      <c r="AE61" t="e">
        <f t="shared" si="12"/>
        <v>#DIV/0!</v>
      </c>
      <c r="AF61" s="5"/>
      <c r="AG61" s="3"/>
      <c r="AH61" s="3"/>
      <c r="AI61" s="3"/>
      <c r="AJ61" s="3"/>
      <c r="AK61">
        <f t="shared" si="15"/>
        <v>0</v>
      </c>
      <c r="AL61" t="e">
        <f t="shared" si="13"/>
        <v>#DIV/0!</v>
      </c>
      <c r="AM61" s="3"/>
      <c r="AN61" s="3"/>
      <c r="AO61" s="3"/>
      <c r="AP61" s="3"/>
      <c r="AQ61" s="3"/>
      <c r="AR61" s="3"/>
    </row>
    <row r="62" spans="1:44" x14ac:dyDescent="0.3">
      <c r="A62" s="12"/>
      <c r="B62" s="12"/>
      <c r="C62" s="13"/>
      <c r="D62" s="13"/>
      <c r="E62" s="13"/>
      <c r="F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3"/>
      <c r="AD62">
        <f t="shared" si="14"/>
        <v>0</v>
      </c>
      <c r="AE62" t="e">
        <f t="shared" si="12"/>
        <v>#DIV/0!</v>
      </c>
      <c r="AF62" s="5"/>
      <c r="AG62" s="3"/>
      <c r="AH62" s="3"/>
      <c r="AI62" s="3"/>
      <c r="AJ62" s="3"/>
      <c r="AK62">
        <f t="shared" si="15"/>
        <v>0</v>
      </c>
      <c r="AL62" t="e">
        <f t="shared" si="13"/>
        <v>#DIV/0!</v>
      </c>
      <c r="AM62" s="3"/>
      <c r="AN62" s="3"/>
      <c r="AO62" s="3"/>
      <c r="AP62" s="3"/>
      <c r="AQ62" s="3"/>
      <c r="AR62" s="3"/>
    </row>
    <row r="63" spans="1:44" x14ac:dyDescent="0.3">
      <c r="A63" s="12"/>
      <c r="B63" s="12"/>
      <c r="C63" s="13"/>
      <c r="D63" s="13"/>
      <c r="E63" s="13"/>
      <c r="F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3"/>
      <c r="AD63">
        <f t="shared" si="14"/>
        <v>0</v>
      </c>
      <c r="AE63" t="e">
        <f t="shared" si="12"/>
        <v>#DIV/0!</v>
      </c>
      <c r="AF63" s="5"/>
      <c r="AG63" s="3"/>
      <c r="AH63" s="3"/>
      <c r="AI63" s="3"/>
      <c r="AJ63" s="3"/>
      <c r="AK63">
        <f t="shared" si="15"/>
        <v>0</v>
      </c>
      <c r="AL63" t="e">
        <f t="shared" si="13"/>
        <v>#DIV/0!</v>
      </c>
      <c r="AM63" s="3"/>
      <c r="AN63" s="3"/>
      <c r="AO63" s="3"/>
      <c r="AP63" s="3"/>
      <c r="AQ63" s="3"/>
      <c r="AR63" s="3"/>
    </row>
    <row r="64" spans="1:44" x14ac:dyDescent="0.3">
      <c r="A64" s="12"/>
      <c r="B64" s="12"/>
      <c r="C64" s="13"/>
      <c r="D64" s="13"/>
      <c r="E64" s="13"/>
      <c r="F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3"/>
      <c r="AD64">
        <f t="shared" si="14"/>
        <v>0</v>
      </c>
      <c r="AE64" t="e">
        <f t="shared" si="12"/>
        <v>#DIV/0!</v>
      </c>
      <c r="AF64" s="5"/>
      <c r="AG64" s="3"/>
      <c r="AH64" s="3"/>
      <c r="AI64" s="3"/>
      <c r="AJ64" s="3"/>
      <c r="AK64">
        <f t="shared" si="15"/>
        <v>0</v>
      </c>
      <c r="AL64" t="e">
        <f t="shared" si="13"/>
        <v>#DIV/0!</v>
      </c>
      <c r="AM64" s="3"/>
      <c r="AN64" s="3"/>
      <c r="AO64" s="3"/>
      <c r="AP64" s="3"/>
      <c r="AQ64" s="3"/>
      <c r="AR64" s="3"/>
    </row>
    <row r="65" spans="1:44" x14ac:dyDescent="0.3">
      <c r="A65" s="12"/>
      <c r="B65" s="12"/>
      <c r="C65" s="13"/>
      <c r="D65" s="13"/>
      <c r="E65" s="13"/>
      <c r="F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3"/>
      <c r="AD65">
        <f>$AD$2</f>
        <v>0</v>
      </c>
      <c r="AE65" t="e">
        <f t="shared" si="12"/>
        <v>#DIV/0!</v>
      </c>
      <c r="AF65" s="5"/>
      <c r="AG65" s="3"/>
      <c r="AH65" s="3"/>
      <c r="AI65" s="3"/>
      <c r="AJ65" s="3"/>
      <c r="AK65">
        <f>$AL$2</f>
        <v>0</v>
      </c>
      <c r="AL65" t="e">
        <f t="shared" si="13"/>
        <v>#DIV/0!</v>
      </c>
      <c r="AM65" s="3"/>
      <c r="AN65" s="3"/>
      <c r="AO65" s="3"/>
      <c r="AP65" s="3"/>
      <c r="AQ65" s="3"/>
      <c r="AR65" s="3"/>
    </row>
    <row r="66" spans="1:44" x14ac:dyDescent="0.3">
      <c r="A66" s="12"/>
      <c r="B66" s="12"/>
      <c r="C66" s="13"/>
      <c r="D66" s="13"/>
      <c r="E66" s="13"/>
      <c r="F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3"/>
      <c r="AD66" s="5">
        <f>AD65*$AF$1</f>
        <v>0</v>
      </c>
      <c r="AE66" s="5" t="e">
        <f t="shared" si="12"/>
        <v>#DIV/0!</v>
      </c>
      <c r="AF66" s="5"/>
      <c r="AG66" s="3"/>
      <c r="AH66" s="3"/>
      <c r="AI66" s="3"/>
      <c r="AJ66" s="3"/>
      <c r="AK66" s="3">
        <f>AK65*$AO$1</f>
        <v>0</v>
      </c>
      <c r="AL66" s="3" t="e">
        <f t="shared" si="13"/>
        <v>#DIV/0!</v>
      </c>
      <c r="AM66" s="3"/>
      <c r="AN66" s="3"/>
      <c r="AO66" s="3"/>
      <c r="AP66" s="3"/>
      <c r="AQ66" s="3"/>
      <c r="AR66" s="3"/>
    </row>
    <row r="67" spans="1:44" x14ac:dyDescent="0.3">
      <c r="A67" s="12"/>
      <c r="B67" s="12"/>
      <c r="C67" s="13"/>
      <c r="D67" s="13"/>
      <c r="E67" s="13"/>
      <c r="F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3"/>
      <c r="AD67" s="5"/>
      <c r="AE67" s="5"/>
      <c r="AF67" s="5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</row>
    <row r="68" spans="1:44" x14ac:dyDescent="0.3">
      <c r="A68" s="12"/>
      <c r="B68" s="12"/>
      <c r="C68" s="13"/>
      <c r="D68" s="13"/>
      <c r="E68" s="13"/>
      <c r="F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3"/>
      <c r="AD68" s="5"/>
      <c r="AE68" s="5"/>
      <c r="AF68" s="5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</row>
    <row r="69" spans="1:44" x14ac:dyDescent="0.3">
      <c r="A69" s="12"/>
      <c r="B69" s="12"/>
      <c r="C69" s="13"/>
      <c r="D69" s="13"/>
      <c r="E69" s="13"/>
      <c r="F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3"/>
      <c r="AD69" s="5"/>
      <c r="AE69" s="5"/>
      <c r="AF69" s="5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</row>
    <row r="70" spans="1:44" x14ac:dyDescent="0.3">
      <c r="A70" s="12"/>
      <c r="B70" s="12"/>
      <c r="C70" s="13"/>
      <c r="D70" s="13"/>
      <c r="E70" s="13"/>
      <c r="F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3"/>
      <c r="AD70" s="5"/>
      <c r="AE70" s="5"/>
      <c r="AF70" s="5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</row>
    <row r="71" spans="1:44" x14ac:dyDescent="0.3">
      <c r="A71" s="12"/>
      <c r="B71" s="12"/>
      <c r="C71" s="13"/>
      <c r="D71" s="13"/>
      <c r="E71" s="13"/>
      <c r="F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AD71" s="5"/>
      <c r="AE71" s="5"/>
      <c r="AF71" s="5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</row>
    <row r="72" spans="1:44" x14ac:dyDescent="0.3">
      <c r="A72" s="12"/>
      <c r="B72" s="12"/>
      <c r="C72" s="13"/>
      <c r="D72" s="13"/>
      <c r="E72" s="13"/>
      <c r="F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3"/>
      <c r="AD72" s="5"/>
      <c r="AE72" s="5"/>
      <c r="AF72" s="5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</row>
    <row r="73" spans="1:44" x14ac:dyDescent="0.3">
      <c r="A73" s="12"/>
      <c r="B73" s="12"/>
      <c r="C73" s="13"/>
      <c r="D73" s="13"/>
      <c r="E73" s="13"/>
      <c r="F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3"/>
      <c r="AD73" s="5"/>
      <c r="AE73" s="5"/>
      <c r="AF73" s="5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</row>
    <row r="74" spans="1:44" x14ac:dyDescent="0.3">
      <c r="A74" s="12"/>
      <c r="B74" s="12"/>
      <c r="C74" s="13"/>
      <c r="D74" s="13"/>
      <c r="E74" s="13"/>
      <c r="F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3"/>
      <c r="AD74" s="5"/>
      <c r="AE74" s="5"/>
      <c r="AF74" s="5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</row>
    <row r="75" spans="1:44" x14ac:dyDescent="0.3">
      <c r="A75" s="12"/>
      <c r="B75" s="12"/>
      <c r="C75" s="13"/>
      <c r="D75" s="13"/>
      <c r="E75" s="13"/>
      <c r="F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3"/>
      <c r="AD75" s="5"/>
      <c r="AE75" s="5"/>
      <c r="AF75" s="5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</row>
    <row r="76" spans="1:44" x14ac:dyDescent="0.3">
      <c r="A76" s="12"/>
      <c r="B76" s="12"/>
      <c r="C76" s="13"/>
      <c r="D76" s="13"/>
      <c r="E76" s="13"/>
      <c r="F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3"/>
      <c r="AD76" s="5"/>
      <c r="AE76" s="5"/>
      <c r="AF76" s="5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</row>
    <row r="77" spans="1:44" x14ac:dyDescent="0.3">
      <c r="A77" s="12"/>
      <c r="B77" s="12"/>
      <c r="C77" s="13"/>
      <c r="D77" s="13"/>
      <c r="E77" s="13"/>
      <c r="F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3"/>
      <c r="AD77" s="5"/>
      <c r="AE77" s="5"/>
      <c r="AF77" s="5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</row>
    <row r="78" spans="1:44" x14ac:dyDescent="0.3">
      <c r="A78" s="12"/>
      <c r="B78" s="12"/>
      <c r="C78" s="13"/>
      <c r="D78" s="13"/>
      <c r="E78" s="13"/>
      <c r="F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3"/>
      <c r="AD78" s="5"/>
      <c r="AE78" s="5"/>
      <c r="AF78" s="5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</row>
    <row r="79" spans="1:44" x14ac:dyDescent="0.3">
      <c r="A79" s="12"/>
      <c r="B79" s="12"/>
      <c r="C79" s="13"/>
      <c r="D79" s="13"/>
      <c r="E79" s="13"/>
      <c r="F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3"/>
      <c r="AD79" s="5"/>
      <c r="AE79" s="5"/>
      <c r="AF79" s="5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</row>
    <row r="80" spans="1:44" x14ac:dyDescent="0.3">
      <c r="A80" s="12"/>
      <c r="B80" s="12"/>
      <c r="C80" s="13"/>
      <c r="D80" s="13"/>
      <c r="E80" s="13"/>
      <c r="F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3"/>
      <c r="AD80" s="5"/>
      <c r="AE80" s="5"/>
      <c r="AF80" s="5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</row>
    <row r="81" spans="1:44" x14ac:dyDescent="0.3">
      <c r="A81" s="12"/>
      <c r="B81" s="12"/>
      <c r="C81" s="13"/>
      <c r="D81" s="13"/>
      <c r="E81" s="13"/>
      <c r="F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3"/>
      <c r="AD81" s="5"/>
      <c r="AE81" s="5"/>
      <c r="AF81" s="5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</row>
    <row r="82" spans="1:44" x14ac:dyDescent="0.3">
      <c r="A82" s="12"/>
      <c r="B82" s="12"/>
      <c r="C82" s="13"/>
      <c r="D82" s="13"/>
      <c r="E82" s="13"/>
      <c r="F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3"/>
      <c r="AD82" s="5"/>
      <c r="AE82" s="5"/>
      <c r="AF82" s="5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</row>
    <row r="83" spans="1:44" x14ac:dyDescent="0.3">
      <c r="A83" s="12"/>
      <c r="B83" s="12"/>
      <c r="C83" s="13"/>
      <c r="D83" s="13"/>
      <c r="E83" s="13"/>
      <c r="F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3"/>
      <c r="AD83" s="5"/>
      <c r="AE83" s="5"/>
      <c r="AF83" s="5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</row>
    <row r="84" spans="1:44" x14ac:dyDescent="0.3">
      <c r="A84" s="12"/>
      <c r="B84" s="12"/>
      <c r="C84" s="13"/>
      <c r="D84" s="13"/>
      <c r="E84" s="13"/>
      <c r="F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3"/>
      <c r="AD84" s="5"/>
      <c r="AE84" s="5"/>
      <c r="AF84" s="5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</row>
    <row r="85" spans="1:44" x14ac:dyDescent="0.3">
      <c r="A85" s="8"/>
      <c r="B85" s="8"/>
      <c r="C85" s="9"/>
      <c r="D85" s="9"/>
      <c r="E85" s="9" t="e">
        <f>C85/D85</f>
        <v>#DIV/0!</v>
      </c>
      <c r="F85" s="9">
        <f>IA(A85,B85,$F$2,$F$3,$F$4,$F$5,$F$6)+0.01</f>
        <v>0.01</v>
      </c>
      <c r="G85" s="42" t="e">
        <f>totalbinLik($G$23,D85,C85)</f>
        <v>#VALUE!</v>
      </c>
      <c r="H85" s="9" t="e">
        <f>BinLik(D85,C85,F85)</f>
        <v>#VALUE!</v>
      </c>
      <c r="I85" s="9"/>
      <c r="J85" s="9">
        <f>IA_SA(A85,B85,$J$2,$J$3,$J$4,$J$5,$J$6,$J$7)+0.01</f>
        <v>0.01</v>
      </c>
      <c r="K85" s="9" t="e">
        <f>BinLik(D85,C85,J85)</f>
        <v>#VALUE!</v>
      </c>
      <c r="L85" s="9"/>
      <c r="M85" s="9">
        <f>IA_DR(A85,B85,$M$2,$M$3,$M$4,$M$5,$M$6,$M$7,$M$8)+0.01</f>
        <v>0.01</v>
      </c>
      <c r="N85" s="9" t="e">
        <f>BinLik(D85,C85,M85)</f>
        <v>#VALUE!</v>
      </c>
      <c r="O85" s="9"/>
      <c r="P85" s="9">
        <f>IA_DL(A85,B85,$P$2,$P$3,$P$4,$P$5,$P$6,$P$7,$P$8)+0.01</f>
        <v>0.01</v>
      </c>
      <c r="Q85" s="9" t="e">
        <f>BinLik(D85,C85,P85)</f>
        <v>#VALUE!</v>
      </c>
      <c r="R85" s="3" t="s">
        <v>32</v>
      </c>
      <c r="AD85" s="5"/>
      <c r="AE85" s="5"/>
      <c r="AF85" s="5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</row>
    <row r="86" spans="1:44" x14ac:dyDescent="0.3">
      <c r="A86" s="8"/>
      <c r="B86" s="8"/>
      <c r="C86" s="9"/>
      <c r="D86" s="9"/>
      <c r="E86" s="9"/>
      <c r="F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3"/>
      <c r="AD86" s="5"/>
      <c r="AE86" s="5"/>
      <c r="AF86" s="5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</row>
    <row r="87" spans="1:44" x14ac:dyDescent="0.3">
      <c r="A87" s="8"/>
      <c r="B87" s="8"/>
      <c r="C87" s="9"/>
      <c r="D87" s="9"/>
      <c r="E87" s="9"/>
      <c r="F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3"/>
      <c r="AD87" s="5"/>
      <c r="AE87" s="5"/>
      <c r="AF87" s="5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</row>
    <row r="88" spans="1:44" x14ac:dyDescent="0.3">
      <c r="A88" s="8"/>
      <c r="B88" s="8"/>
      <c r="C88" s="9"/>
      <c r="D88" s="9"/>
      <c r="E88" s="9"/>
      <c r="F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3"/>
      <c r="AD88" s="5"/>
      <c r="AE88" s="5"/>
      <c r="AF88" s="5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</row>
    <row r="89" spans="1:44" x14ac:dyDescent="0.3">
      <c r="A89" s="8"/>
      <c r="B89" s="8"/>
      <c r="C89" s="9"/>
      <c r="D89" s="9"/>
      <c r="E89" s="9"/>
      <c r="F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3"/>
      <c r="AD89" s="5"/>
      <c r="AE89" s="5"/>
      <c r="AF89" s="5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</row>
    <row r="90" spans="1:44" x14ac:dyDescent="0.3">
      <c r="A90" s="8"/>
      <c r="B90" s="8"/>
      <c r="C90" s="9"/>
      <c r="D90" s="9"/>
      <c r="E90" s="9"/>
      <c r="F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3"/>
      <c r="AD90" s="5"/>
      <c r="AE90" s="5"/>
      <c r="AF90" s="5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</row>
    <row r="91" spans="1:44" x14ac:dyDescent="0.3">
      <c r="A91" s="8"/>
      <c r="B91" s="8"/>
      <c r="C91" s="9"/>
      <c r="D91" s="9"/>
      <c r="E91" s="9"/>
      <c r="F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3"/>
      <c r="AD91" s="5"/>
      <c r="AE91" s="5"/>
      <c r="AF91" s="5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</row>
    <row r="92" spans="1:44" x14ac:dyDescent="0.3">
      <c r="A92" s="8"/>
      <c r="B92" s="8"/>
      <c r="C92" s="9"/>
      <c r="D92" s="9"/>
      <c r="E92" s="9"/>
      <c r="F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3"/>
      <c r="AD92" s="5"/>
      <c r="AE92" s="5"/>
      <c r="AF92" s="5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</row>
    <row r="93" spans="1:44" x14ac:dyDescent="0.3">
      <c r="A93" s="8"/>
      <c r="B93" s="8"/>
      <c r="C93" s="9"/>
      <c r="D93" s="9"/>
      <c r="E93" s="9"/>
      <c r="F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3"/>
      <c r="AD93" s="5"/>
      <c r="AE93" s="5"/>
      <c r="AF93" s="5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</row>
    <row r="94" spans="1:44" x14ac:dyDescent="0.3">
      <c r="A94" s="8"/>
      <c r="B94" s="8"/>
      <c r="C94" s="9"/>
      <c r="D94" s="9"/>
      <c r="E94" s="9"/>
      <c r="F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3"/>
      <c r="AD94" s="5"/>
      <c r="AE94" s="5"/>
      <c r="AF94" s="5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</row>
    <row r="95" spans="1:44" x14ac:dyDescent="0.3">
      <c r="A95" s="8"/>
      <c r="B95" s="8"/>
      <c r="C95" s="9"/>
      <c r="D95" s="9"/>
      <c r="E95" s="9"/>
      <c r="F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3"/>
      <c r="AD95" s="5"/>
      <c r="AE95" s="5"/>
      <c r="AF95" s="5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</row>
    <row r="96" spans="1:44" x14ac:dyDescent="0.3">
      <c r="A96" s="8"/>
      <c r="B96" s="8"/>
      <c r="C96" s="9"/>
      <c r="D96" s="9"/>
      <c r="E96" s="9"/>
      <c r="F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3"/>
      <c r="AD96" s="5"/>
      <c r="AE96" s="5"/>
      <c r="AF96" s="5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</row>
    <row r="97" spans="1:44" x14ac:dyDescent="0.3">
      <c r="A97" s="8"/>
      <c r="B97" s="8"/>
      <c r="C97" s="9"/>
      <c r="D97" s="9"/>
      <c r="E97" s="9"/>
      <c r="F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3"/>
      <c r="AD97" s="5"/>
      <c r="AE97" s="5"/>
      <c r="AF97" s="5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</row>
    <row r="98" spans="1:44" x14ac:dyDescent="0.3">
      <c r="A98" s="8"/>
      <c r="B98" s="8"/>
      <c r="C98" s="9"/>
      <c r="D98" s="9"/>
      <c r="E98" s="9"/>
      <c r="F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3"/>
      <c r="AD98" s="5"/>
      <c r="AE98" s="5"/>
      <c r="AF98" s="5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</row>
    <row r="99" spans="1:44" x14ac:dyDescent="0.3">
      <c r="A99" s="8"/>
      <c r="B99" s="8"/>
      <c r="C99" s="9"/>
      <c r="D99" s="9"/>
      <c r="E99" s="9"/>
      <c r="F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3"/>
      <c r="AD99" s="5"/>
      <c r="AE99" s="5"/>
      <c r="AF99" s="5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</row>
    <row r="100" spans="1:44" x14ac:dyDescent="0.3">
      <c r="A100" s="8"/>
      <c r="B100" s="8"/>
      <c r="C100" s="9"/>
      <c r="D100" s="9"/>
      <c r="E100" s="9"/>
      <c r="F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3"/>
      <c r="AD100" s="5"/>
      <c r="AE100" s="5"/>
      <c r="AF100" s="5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</row>
    <row r="101" spans="1:44" x14ac:dyDescent="0.3">
      <c r="A101" s="8"/>
      <c r="B101" s="8"/>
      <c r="C101" s="9"/>
      <c r="D101" s="9"/>
      <c r="E101" s="9"/>
      <c r="F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3"/>
      <c r="AD101" s="5"/>
      <c r="AE101" s="5"/>
      <c r="AF101" s="5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</row>
    <row r="102" spans="1:44" x14ac:dyDescent="0.3">
      <c r="A102" s="8"/>
      <c r="B102" s="8"/>
      <c r="C102" s="9"/>
      <c r="D102" s="9"/>
      <c r="E102" s="9"/>
      <c r="F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3"/>
      <c r="AD102" s="5"/>
      <c r="AE102" s="5"/>
      <c r="AF102" s="5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</row>
    <row r="103" spans="1:44" x14ac:dyDescent="0.3">
      <c r="A103" s="8"/>
      <c r="B103" s="8"/>
      <c r="C103" s="9"/>
      <c r="D103" s="9"/>
      <c r="E103" s="9"/>
      <c r="F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3"/>
      <c r="AD103" s="5"/>
      <c r="AE103" s="5"/>
      <c r="AF103" s="5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</row>
    <row r="104" spans="1:44" x14ac:dyDescent="0.3">
      <c r="A104" s="8"/>
      <c r="B104" s="8"/>
      <c r="C104" s="9"/>
      <c r="D104" s="9"/>
      <c r="E104" s="9"/>
      <c r="F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3"/>
      <c r="AD104" s="5"/>
      <c r="AE104" s="5"/>
      <c r="AF104" s="5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</row>
    <row r="105" spans="1:44" x14ac:dyDescent="0.3">
      <c r="A105" s="8"/>
      <c r="B105" s="8"/>
      <c r="C105" s="9"/>
      <c r="D105" s="9"/>
      <c r="E105" s="9"/>
      <c r="F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3"/>
      <c r="AD105" s="5"/>
      <c r="AE105" s="5"/>
      <c r="AF105" s="5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</row>
    <row r="106" spans="1:44" x14ac:dyDescent="0.3">
      <c r="A106" s="8"/>
      <c r="B106" s="8"/>
      <c r="C106" s="9"/>
      <c r="D106" s="9"/>
      <c r="E106" s="9"/>
      <c r="F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3"/>
      <c r="AD106" s="5"/>
      <c r="AE106" s="5"/>
      <c r="AF106" s="5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</row>
    <row r="107" spans="1:44" x14ac:dyDescent="0.3">
      <c r="A107" s="8"/>
      <c r="B107" s="8"/>
      <c r="C107" s="9"/>
      <c r="D107" s="9"/>
      <c r="E107" s="9"/>
      <c r="F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AD107" s="5"/>
      <c r="AE107" s="5"/>
      <c r="AF107" s="5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</row>
    <row r="108" spans="1:44" x14ac:dyDescent="0.3">
      <c r="A108" s="8"/>
      <c r="B108" s="8"/>
      <c r="C108" s="9"/>
      <c r="D108" s="9"/>
      <c r="E108" s="9"/>
      <c r="F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3"/>
      <c r="AD108" s="5"/>
      <c r="AE108" s="5"/>
      <c r="AF108" s="5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</row>
    <row r="109" spans="1:44" x14ac:dyDescent="0.3">
      <c r="A109" s="8"/>
      <c r="B109" s="8"/>
      <c r="C109" s="9"/>
      <c r="D109" s="9"/>
      <c r="E109" s="9"/>
      <c r="F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3"/>
      <c r="AD109" s="5"/>
      <c r="AE109" s="5"/>
      <c r="AF109" s="5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</row>
    <row r="110" spans="1:44" x14ac:dyDescent="0.3">
      <c r="A110" s="8"/>
      <c r="B110" s="8"/>
      <c r="C110" s="9"/>
      <c r="D110" s="9"/>
      <c r="E110" s="9"/>
      <c r="F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3"/>
      <c r="AD110" s="5"/>
      <c r="AE110" s="5"/>
      <c r="AF110" s="5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</row>
    <row r="111" spans="1:44" x14ac:dyDescent="0.3">
      <c r="A111" s="8"/>
      <c r="B111" s="8"/>
      <c r="C111" s="9"/>
      <c r="D111" s="9"/>
      <c r="E111" s="9"/>
      <c r="F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3"/>
      <c r="AD111" s="5"/>
      <c r="AE111" s="5"/>
      <c r="AF111" s="5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</row>
    <row r="112" spans="1:44" x14ac:dyDescent="0.3">
      <c r="A112" s="8"/>
      <c r="B112" s="8"/>
      <c r="C112" s="9"/>
      <c r="D112" s="9"/>
      <c r="E112" s="9"/>
      <c r="F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3"/>
      <c r="AD112" s="5"/>
      <c r="AE112" s="5"/>
      <c r="AF112" s="5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</row>
    <row r="113" spans="1:44" x14ac:dyDescent="0.3">
      <c r="A113" s="8"/>
      <c r="B113" s="8"/>
      <c r="C113" s="9"/>
      <c r="D113" s="9"/>
      <c r="E113" s="9"/>
      <c r="F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3"/>
      <c r="AD113" s="5"/>
      <c r="AE113" s="5"/>
      <c r="AF113" s="5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</row>
    <row r="114" spans="1:44" x14ac:dyDescent="0.3">
      <c r="A114" s="8"/>
      <c r="B114" s="8"/>
      <c r="C114" s="9"/>
      <c r="D114" s="9"/>
      <c r="E114" s="9"/>
      <c r="F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3"/>
      <c r="AD114" s="5"/>
      <c r="AE114" s="5"/>
      <c r="AF114" s="5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</row>
    <row r="115" spans="1:44" x14ac:dyDescent="0.3">
      <c r="A115" s="8"/>
      <c r="B115" s="8"/>
      <c r="C115" s="9"/>
      <c r="D115" s="9"/>
      <c r="E115" s="9"/>
      <c r="F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3"/>
      <c r="AD115" s="5"/>
      <c r="AE115" s="5"/>
      <c r="AF115" s="5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</row>
    <row r="116" spans="1:44" x14ac:dyDescent="0.3">
      <c r="A116" s="8"/>
      <c r="B116" s="8"/>
      <c r="C116" s="9"/>
      <c r="D116" s="9"/>
      <c r="E116" s="9"/>
      <c r="F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3"/>
      <c r="AD116" s="5"/>
      <c r="AE116" s="5"/>
      <c r="AF116" s="5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</row>
    <row r="117" spans="1:44" x14ac:dyDescent="0.3">
      <c r="A117" s="8"/>
      <c r="B117" s="8"/>
      <c r="C117" s="9"/>
      <c r="D117" s="9"/>
      <c r="E117" s="9"/>
      <c r="F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3"/>
      <c r="AD117" s="5"/>
      <c r="AE117" s="5"/>
      <c r="AF117" s="5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</row>
    <row r="118" spans="1:44" x14ac:dyDescent="0.3">
      <c r="A118" s="8"/>
      <c r="B118" s="8"/>
      <c r="C118" s="9"/>
      <c r="D118" s="9"/>
      <c r="E118" s="9"/>
      <c r="F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3"/>
      <c r="AD118" s="5"/>
      <c r="AE118" s="5"/>
      <c r="AF118" s="5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</row>
    <row r="119" spans="1:44" x14ac:dyDescent="0.3">
      <c r="A119" s="8"/>
      <c r="B119" s="8"/>
      <c r="C119" s="9"/>
      <c r="D119" s="9"/>
      <c r="E119" s="9"/>
      <c r="F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3"/>
      <c r="AD119" s="5"/>
      <c r="AE119" s="5"/>
      <c r="AF119" s="5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</row>
    <row r="120" spans="1:44" x14ac:dyDescent="0.3">
      <c r="A120" s="8"/>
      <c r="B120" s="8"/>
      <c r="C120" s="9"/>
      <c r="D120" s="9"/>
      <c r="E120" s="9"/>
      <c r="F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3"/>
      <c r="AD120" s="5"/>
      <c r="AE120" s="5"/>
      <c r="AF120" s="5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</row>
    <row r="121" spans="1:44" x14ac:dyDescent="0.3">
      <c r="A121" s="8"/>
      <c r="B121" s="8"/>
      <c r="C121" s="9"/>
      <c r="D121" s="9"/>
      <c r="E121" s="9"/>
      <c r="F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3"/>
      <c r="AD121" s="5"/>
      <c r="AE121" s="5"/>
      <c r="AF121" s="5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</row>
    <row r="122" spans="1:44" x14ac:dyDescent="0.3">
      <c r="A122" s="8"/>
      <c r="B122" s="8"/>
      <c r="C122" s="9"/>
      <c r="D122" s="9"/>
      <c r="E122" s="9"/>
      <c r="F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3"/>
      <c r="AD122" s="5"/>
      <c r="AE122" s="5"/>
      <c r="AF122" s="5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</row>
    <row r="123" spans="1:44" x14ac:dyDescent="0.3">
      <c r="A123" s="8"/>
      <c r="B123" s="8"/>
      <c r="C123" s="9"/>
      <c r="D123" s="9"/>
      <c r="E123" s="9"/>
      <c r="F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3"/>
      <c r="AD123" s="5"/>
      <c r="AE123" s="5"/>
      <c r="AF123" s="5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</row>
    <row r="124" spans="1:44" x14ac:dyDescent="0.3">
      <c r="A124" s="8"/>
      <c r="B124" s="8"/>
      <c r="C124" s="9"/>
      <c r="D124" s="9"/>
      <c r="E124" s="9"/>
      <c r="F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3"/>
      <c r="AD124" s="5"/>
      <c r="AE124" s="5"/>
      <c r="AF124" s="5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</row>
    <row r="125" spans="1:44" x14ac:dyDescent="0.3">
      <c r="A125" s="8"/>
      <c r="B125" s="8"/>
      <c r="C125" s="9"/>
      <c r="D125" s="9"/>
      <c r="E125" s="9"/>
      <c r="F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3"/>
      <c r="AD125" s="5"/>
      <c r="AE125" s="5"/>
      <c r="AF125" s="5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</row>
    <row r="126" spans="1:44" x14ac:dyDescent="0.3">
      <c r="A126" s="8"/>
      <c r="B126" s="8"/>
      <c r="C126" s="9"/>
      <c r="D126" s="9"/>
      <c r="E126" s="9"/>
      <c r="F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3"/>
      <c r="AD126" s="5"/>
      <c r="AE126" s="5"/>
      <c r="AF126" s="5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</row>
    <row r="127" spans="1:44" x14ac:dyDescent="0.3">
      <c r="A127" s="8"/>
      <c r="B127" s="8"/>
      <c r="C127" s="9"/>
      <c r="D127" s="9"/>
      <c r="E127" s="9"/>
      <c r="F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3"/>
      <c r="AD127" s="5"/>
      <c r="AE127" s="5"/>
      <c r="AF127" s="5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</row>
    <row r="128" spans="1:44" x14ac:dyDescent="0.3">
      <c r="A128" s="8"/>
      <c r="B128" s="8"/>
      <c r="C128" s="9"/>
      <c r="D128" s="9"/>
      <c r="E128" s="9"/>
      <c r="F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3"/>
      <c r="AD128" s="5"/>
      <c r="AE128" s="5"/>
      <c r="AF128" s="5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</row>
    <row r="129" spans="1:44" x14ac:dyDescent="0.3">
      <c r="A129" s="8"/>
      <c r="B129" s="8"/>
      <c r="C129" s="9"/>
      <c r="D129" s="9"/>
      <c r="E129" s="9"/>
      <c r="F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3"/>
      <c r="AD129" s="5"/>
      <c r="AE129" s="5"/>
      <c r="AF129" s="5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</row>
    <row r="130" spans="1:44" x14ac:dyDescent="0.3">
      <c r="A130" s="14"/>
      <c r="B130" s="14"/>
      <c r="C130" s="15"/>
      <c r="D130" s="15"/>
      <c r="E130" s="15" t="e">
        <f>C130/D130</f>
        <v>#DIV/0!</v>
      </c>
      <c r="F130" s="15">
        <f>IA(A130,B130,$F$2,$F$3,$F$4,$F$5,$F$6)+0.01</f>
        <v>0.01</v>
      </c>
      <c r="G130" s="42" t="e">
        <f>totalbinLik($G$23,D130,C130)</f>
        <v>#VALUE!</v>
      </c>
      <c r="H130" s="15" t="e">
        <f>BinLik(D130,C130,F130)</f>
        <v>#VALUE!</v>
      </c>
      <c r="I130" s="15"/>
      <c r="J130" s="15">
        <f>IA_SA(A130,B130,$J$2,$J$3,$J$4,$J$5,$J$6,$J$7)+0.01</f>
        <v>0.01</v>
      </c>
      <c r="K130" s="15" t="e">
        <f>BinLik(D130,C130,J130)</f>
        <v>#VALUE!</v>
      </c>
      <c r="L130" s="15"/>
      <c r="M130" s="15">
        <f>IA_DR(A130,B130,$M$2,$M$3,$M$4,$M$5,$M$6,$M$7,$M$8)+0.01</f>
        <v>0.01</v>
      </c>
      <c r="N130" s="15" t="e">
        <f>BinLik(D130,C130,M130)</f>
        <v>#VALUE!</v>
      </c>
      <c r="O130" s="15"/>
      <c r="P130" s="15">
        <f>IA_DL(A130,B130,$P$2,$P$3,$P$4,$P$5,$P$6,$P$7,$P$8)+0.01</f>
        <v>0.01</v>
      </c>
      <c r="Q130" s="15" t="e">
        <f>BinLik(D130,C130,P130)</f>
        <v>#VALUE!</v>
      </c>
      <c r="R130" s="3" t="s">
        <v>33</v>
      </c>
      <c r="AD130" s="5"/>
      <c r="AE130" s="5"/>
      <c r="AF130" s="5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</row>
    <row r="131" spans="1:44" x14ac:dyDescent="0.3">
      <c r="A131" s="14"/>
      <c r="B131" s="14"/>
      <c r="C131" s="15"/>
      <c r="D131" s="15"/>
      <c r="E131" s="15"/>
      <c r="F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3"/>
      <c r="AD131" s="5"/>
      <c r="AE131" s="5"/>
      <c r="AF131" s="5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</row>
    <row r="132" spans="1:44" x14ac:dyDescent="0.3">
      <c r="A132" s="14"/>
      <c r="B132" s="14"/>
      <c r="C132" s="15"/>
      <c r="D132" s="15"/>
      <c r="E132" s="15"/>
      <c r="F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3"/>
      <c r="AD132" s="5"/>
      <c r="AE132" s="5"/>
      <c r="AF132" s="5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</row>
    <row r="133" spans="1:44" x14ac:dyDescent="0.3">
      <c r="A133" s="14"/>
      <c r="B133" s="14"/>
      <c r="C133" s="15"/>
      <c r="D133" s="15"/>
      <c r="E133" s="15"/>
      <c r="F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3"/>
      <c r="AD133" s="5"/>
      <c r="AE133" s="5"/>
      <c r="AF133" s="5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</row>
    <row r="134" spans="1:44" x14ac:dyDescent="0.3">
      <c r="A134" s="14"/>
      <c r="B134" s="14"/>
      <c r="C134" s="15"/>
      <c r="D134" s="15"/>
      <c r="E134" s="15"/>
      <c r="F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3"/>
      <c r="AD134" s="5"/>
      <c r="AE134" s="5"/>
      <c r="AF134" s="5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</row>
    <row r="135" spans="1:44" x14ac:dyDescent="0.3">
      <c r="A135" s="14"/>
      <c r="B135" s="14"/>
      <c r="C135" s="15"/>
      <c r="D135" s="15"/>
      <c r="E135" s="15"/>
      <c r="F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3"/>
      <c r="AD135" s="5"/>
      <c r="AE135" s="5"/>
      <c r="AF135" s="5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</row>
    <row r="136" spans="1:44" x14ac:dyDescent="0.3">
      <c r="A136" s="14"/>
      <c r="B136" s="14"/>
      <c r="C136" s="15"/>
      <c r="D136" s="15"/>
      <c r="E136" s="15"/>
      <c r="F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3"/>
      <c r="AD136" s="5"/>
      <c r="AE136" s="5"/>
      <c r="AF136" s="5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</row>
    <row r="137" spans="1:44" x14ac:dyDescent="0.3">
      <c r="A137" s="14"/>
      <c r="B137" s="14"/>
      <c r="C137" s="15"/>
      <c r="D137" s="15"/>
      <c r="E137" s="15"/>
      <c r="F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3"/>
      <c r="AD137" s="5"/>
      <c r="AE137" s="5"/>
      <c r="AF137" s="5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</row>
    <row r="138" spans="1:44" x14ac:dyDescent="0.3">
      <c r="A138" s="14"/>
      <c r="B138" s="14"/>
      <c r="C138" s="15"/>
      <c r="D138" s="15"/>
      <c r="E138" s="15"/>
      <c r="F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3"/>
      <c r="AD138" s="5"/>
      <c r="AE138" s="5"/>
      <c r="AF138" s="5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</row>
    <row r="139" spans="1:44" x14ac:dyDescent="0.3">
      <c r="A139" s="14"/>
      <c r="B139" s="14"/>
      <c r="C139" s="15"/>
      <c r="D139" s="15"/>
      <c r="E139" s="15"/>
      <c r="F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3"/>
      <c r="AD139" s="5"/>
      <c r="AE139" s="5"/>
      <c r="AF139" s="5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</row>
    <row r="140" spans="1:44" x14ac:dyDescent="0.3">
      <c r="A140" s="14"/>
      <c r="B140" s="14"/>
      <c r="C140" s="15"/>
      <c r="D140" s="15"/>
      <c r="E140" s="15"/>
      <c r="F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3"/>
      <c r="AD140" s="5"/>
      <c r="AE140" s="5"/>
      <c r="AF140" s="5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</row>
    <row r="141" spans="1:44" x14ac:dyDescent="0.3">
      <c r="A141" s="14"/>
      <c r="B141" s="14"/>
      <c r="C141" s="15"/>
      <c r="D141" s="15"/>
      <c r="E141" s="15"/>
      <c r="F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3"/>
      <c r="AD141" s="5"/>
      <c r="AE141" s="5"/>
      <c r="AF141" s="5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</row>
    <row r="142" spans="1:44" x14ac:dyDescent="0.3">
      <c r="A142" s="14"/>
      <c r="B142" s="14"/>
      <c r="C142" s="15"/>
      <c r="D142" s="15"/>
      <c r="E142" s="15"/>
      <c r="F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3"/>
      <c r="AD142" s="5"/>
      <c r="AE142" s="5"/>
      <c r="AF142" s="5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44" x14ac:dyDescent="0.3">
      <c r="A143" s="14"/>
      <c r="B143" s="14"/>
      <c r="C143" s="15"/>
      <c r="D143" s="15"/>
      <c r="E143" s="15"/>
      <c r="F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3"/>
      <c r="AD143" s="5"/>
      <c r="AE143" s="5"/>
      <c r="AF143" s="5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</row>
    <row r="144" spans="1:44" x14ac:dyDescent="0.3">
      <c r="A144" s="14"/>
      <c r="B144" s="14"/>
      <c r="C144" s="15"/>
      <c r="D144" s="15"/>
      <c r="E144" s="15"/>
      <c r="F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3"/>
      <c r="AD144" s="5"/>
      <c r="AE144" s="5"/>
      <c r="AF144" s="5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</row>
    <row r="145" spans="1:44" x14ac:dyDescent="0.3">
      <c r="A145" s="14"/>
      <c r="B145" s="14"/>
      <c r="C145" s="15"/>
      <c r="D145" s="15"/>
      <c r="E145" s="15"/>
      <c r="F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3"/>
      <c r="AD145" s="5"/>
      <c r="AE145" s="5"/>
      <c r="AF145" s="5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</row>
    <row r="146" spans="1:44" x14ac:dyDescent="0.3">
      <c r="A146" s="14"/>
      <c r="B146" s="14"/>
      <c r="C146" s="15"/>
      <c r="D146" s="15"/>
      <c r="E146" s="15"/>
      <c r="F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3"/>
      <c r="AD146" s="5"/>
      <c r="AE146" s="5"/>
      <c r="AF146" s="5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</row>
    <row r="147" spans="1:44" x14ac:dyDescent="0.3">
      <c r="A147" s="14"/>
      <c r="B147" s="14"/>
      <c r="C147" s="15"/>
      <c r="D147" s="15"/>
      <c r="E147" s="15"/>
      <c r="F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3"/>
      <c r="AD147" s="5"/>
      <c r="AE147" s="5"/>
      <c r="AF147" s="5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</row>
    <row r="148" spans="1:44" x14ac:dyDescent="0.3">
      <c r="A148" s="14"/>
      <c r="B148" s="14"/>
      <c r="C148" s="15"/>
      <c r="D148" s="15"/>
      <c r="E148" s="15"/>
      <c r="F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3"/>
      <c r="AD148" s="5"/>
      <c r="AE148" s="5"/>
      <c r="AF148" s="5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</row>
    <row r="149" spans="1:44" x14ac:dyDescent="0.3">
      <c r="A149" s="14"/>
      <c r="B149" s="14"/>
      <c r="C149" s="15"/>
      <c r="D149" s="15"/>
      <c r="E149" s="15"/>
      <c r="F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3"/>
      <c r="AD149" s="5"/>
      <c r="AE149" s="5"/>
      <c r="AF149" s="5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</row>
    <row r="150" spans="1:44" x14ac:dyDescent="0.3">
      <c r="A150" s="14"/>
      <c r="B150" s="14"/>
      <c r="C150" s="15"/>
      <c r="D150" s="15"/>
      <c r="E150" s="15"/>
      <c r="F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3"/>
      <c r="AF150" s="5"/>
      <c r="AG150" s="3"/>
      <c r="AH150" s="3"/>
      <c r="AI150" s="3"/>
      <c r="AJ150" s="3"/>
      <c r="AM150" s="3"/>
      <c r="AN150" s="3"/>
      <c r="AO150" s="3"/>
      <c r="AP150" s="3"/>
      <c r="AQ150" s="3"/>
      <c r="AR150" s="3"/>
    </row>
    <row r="151" spans="1:44" x14ac:dyDescent="0.3">
      <c r="A151" s="14"/>
      <c r="B151" s="14"/>
      <c r="C151" s="15"/>
      <c r="D151" s="15"/>
      <c r="E151" s="15"/>
      <c r="F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3"/>
      <c r="AF151" s="5"/>
      <c r="AG151" s="3"/>
      <c r="AH151" s="3"/>
      <c r="AI151" s="3"/>
      <c r="AJ151" s="3"/>
      <c r="AM151" s="3"/>
      <c r="AN151" s="3"/>
      <c r="AO151" s="3"/>
      <c r="AP151" s="3"/>
      <c r="AQ151" s="3"/>
      <c r="AR151" s="3"/>
    </row>
    <row r="152" spans="1:44" x14ac:dyDescent="0.3">
      <c r="A152" s="14"/>
      <c r="B152" s="14"/>
      <c r="C152" s="15"/>
      <c r="D152" s="15"/>
      <c r="E152" s="15"/>
      <c r="F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3"/>
      <c r="AF152" s="5"/>
      <c r="AG152" s="3"/>
      <c r="AH152" s="3"/>
      <c r="AI152" s="3"/>
      <c r="AJ152" s="3"/>
      <c r="AM152" s="3"/>
      <c r="AN152" s="3"/>
      <c r="AO152" s="3"/>
      <c r="AP152" s="3"/>
      <c r="AQ152" s="3"/>
      <c r="AR152" s="3"/>
    </row>
    <row r="153" spans="1:44" x14ac:dyDescent="0.3">
      <c r="A153" s="14"/>
      <c r="B153" s="14"/>
      <c r="C153" s="15"/>
      <c r="D153" s="15"/>
      <c r="E153" s="15"/>
      <c r="F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3"/>
      <c r="AF153" s="5"/>
      <c r="AG153" s="3"/>
      <c r="AH153" s="3"/>
      <c r="AI153" s="3"/>
      <c r="AJ153" s="3"/>
      <c r="AM153" s="3"/>
      <c r="AN153" s="3"/>
      <c r="AO153" s="3"/>
      <c r="AP153" s="3"/>
      <c r="AQ153" s="3"/>
      <c r="AR153" s="3"/>
    </row>
    <row r="154" spans="1:44" x14ac:dyDescent="0.3">
      <c r="A154" s="14"/>
      <c r="B154" s="14"/>
      <c r="C154" s="15"/>
      <c r="D154" s="15"/>
      <c r="E154" s="15"/>
      <c r="F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3"/>
      <c r="AF154" s="5"/>
      <c r="AG154" s="3"/>
      <c r="AH154" s="3"/>
      <c r="AI154" s="3"/>
      <c r="AJ154" s="3"/>
      <c r="AM154" s="3"/>
      <c r="AN154" s="3"/>
      <c r="AO154" s="3"/>
      <c r="AP154" s="3"/>
      <c r="AQ154" s="3"/>
      <c r="AR154" s="3"/>
    </row>
    <row r="155" spans="1:44" x14ac:dyDescent="0.3">
      <c r="A155" s="14"/>
      <c r="B155" s="14"/>
      <c r="C155" s="15"/>
      <c r="D155" s="15"/>
      <c r="E155" s="15"/>
      <c r="F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3"/>
      <c r="AF155" s="5"/>
      <c r="AG155" s="3"/>
      <c r="AH155" s="3"/>
      <c r="AI155" s="3"/>
      <c r="AJ155" s="3"/>
      <c r="AM155" s="3"/>
      <c r="AN155" s="3"/>
      <c r="AO155" s="3"/>
      <c r="AP155" s="3"/>
      <c r="AQ155" s="3"/>
      <c r="AR155" s="3"/>
    </row>
    <row r="156" spans="1:44" x14ac:dyDescent="0.3">
      <c r="A156" s="14"/>
      <c r="B156" s="14"/>
      <c r="C156" s="15"/>
      <c r="D156" s="15"/>
      <c r="E156" s="15"/>
      <c r="F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3"/>
      <c r="AF156" s="5"/>
      <c r="AG156" s="3"/>
      <c r="AH156" s="3"/>
      <c r="AI156" s="3"/>
      <c r="AJ156" s="3"/>
      <c r="AM156" s="3"/>
      <c r="AN156" s="3"/>
      <c r="AO156" s="3"/>
      <c r="AP156" s="3"/>
      <c r="AQ156" s="3"/>
      <c r="AR156" s="3"/>
    </row>
    <row r="157" spans="1:44" x14ac:dyDescent="0.3">
      <c r="A157" s="14"/>
      <c r="B157" s="14"/>
      <c r="C157" s="15"/>
      <c r="D157" s="15"/>
      <c r="E157" s="15"/>
      <c r="F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3"/>
      <c r="AF157" s="5"/>
      <c r="AG157" s="3"/>
      <c r="AH157" s="3"/>
      <c r="AI157" s="3"/>
      <c r="AJ157" s="3"/>
      <c r="AM157" s="3"/>
      <c r="AN157" s="3"/>
      <c r="AO157" s="3"/>
      <c r="AP157" s="3"/>
      <c r="AQ157" s="3"/>
      <c r="AR157" s="3"/>
    </row>
    <row r="158" spans="1:44" x14ac:dyDescent="0.3">
      <c r="A158" s="14"/>
      <c r="B158" s="14"/>
      <c r="C158" s="15"/>
      <c r="D158" s="15"/>
      <c r="E158" s="15"/>
      <c r="F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3"/>
      <c r="AF158" s="5"/>
      <c r="AG158" s="3"/>
      <c r="AH158" s="3"/>
      <c r="AI158" s="3"/>
      <c r="AJ158" s="3"/>
      <c r="AM158" s="3"/>
      <c r="AN158" s="3"/>
      <c r="AO158" s="3"/>
      <c r="AP158" s="3"/>
      <c r="AQ158" s="3"/>
      <c r="AR158" s="3"/>
    </row>
    <row r="159" spans="1:44" x14ac:dyDescent="0.3">
      <c r="A159" s="14"/>
      <c r="B159" s="14"/>
      <c r="C159" s="15"/>
      <c r="D159" s="15"/>
      <c r="E159" s="15"/>
      <c r="F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3"/>
      <c r="AF159" s="5"/>
      <c r="AG159" s="3"/>
      <c r="AH159" s="3"/>
      <c r="AI159" s="3"/>
      <c r="AJ159" s="3"/>
      <c r="AM159" s="3"/>
      <c r="AN159" s="3"/>
      <c r="AO159" s="3"/>
      <c r="AP159" s="3"/>
      <c r="AQ159" s="3"/>
      <c r="AR159" s="3"/>
    </row>
    <row r="160" spans="1:44" x14ac:dyDescent="0.3">
      <c r="A160" s="14"/>
      <c r="B160" s="14"/>
      <c r="C160" s="15"/>
      <c r="D160" s="15"/>
      <c r="E160" s="15"/>
      <c r="F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3"/>
    </row>
    <row r="161" spans="1:18" x14ac:dyDescent="0.3">
      <c r="A161" s="14"/>
      <c r="B161" s="14"/>
      <c r="C161" s="15"/>
      <c r="D161" s="15"/>
      <c r="E161" s="15"/>
      <c r="F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3"/>
    </row>
    <row r="162" spans="1:18" x14ac:dyDescent="0.3">
      <c r="A162" s="14"/>
      <c r="B162" s="14"/>
      <c r="C162" s="15"/>
      <c r="D162" s="15"/>
      <c r="E162" s="15"/>
      <c r="F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3"/>
    </row>
    <row r="163" spans="1:18" x14ac:dyDescent="0.3">
      <c r="A163" s="14"/>
      <c r="B163" s="14"/>
      <c r="C163" s="15"/>
      <c r="D163" s="15"/>
      <c r="E163" s="15"/>
      <c r="F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3"/>
    </row>
    <row r="164" spans="1:18" x14ac:dyDescent="0.3">
      <c r="A164" s="14"/>
      <c r="B164" s="14"/>
      <c r="C164" s="15"/>
      <c r="D164" s="15"/>
      <c r="E164" s="15"/>
      <c r="F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3"/>
    </row>
    <row r="165" spans="1:18" x14ac:dyDescent="0.3">
      <c r="A165" s="14"/>
      <c r="B165" s="14"/>
      <c r="C165" s="15"/>
      <c r="D165" s="15"/>
      <c r="E165" s="15"/>
      <c r="F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3"/>
    </row>
    <row r="166" spans="1:18" x14ac:dyDescent="0.3">
      <c r="A166" s="14"/>
      <c r="B166" s="14"/>
      <c r="C166" s="15"/>
      <c r="D166" s="15"/>
      <c r="E166" s="15"/>
      <c r="F166" s="15"/>
      <c r="G166" s="44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3"/>
    </row>
    <row r="167" spans="1:18" x14ac:dyDescent="0.3">
      <c r="A167" s="14"/>
      <c r="B167" s="14"/>
      <c r="C167" s="15"/>
      <c r="D167" s="15"/>
      <c r="E167" s="15"/>
      <c r="F167" s="15"/>
      <c r="G167" s="44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3"/>
    </row>
    <row r="168" spans="1:18" x14ac:dyDescent="0.3">
      <c r="A168" s="14"/>
      <c r="B168" s="14"/>
      <c r="C168" s="15"/>
      <c r="D168" s="15"/>
      <c r="E168" s="15"/>
      <c r="F168" s="15"/>
      <c r="G168" s="44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3"/>
    </row>
    <row r="169" spans="1:18" x14ac:dyDescent="0.3">
      <c r="A169" s="14"/>
      <c r="B169" s="14"/>
      <c r="C169" s="15"/>
      <c r="D169" s="15"/>
      <c r="E169" s="15"/>
      <c r="F169" s="15"/>
      <c r="G169" s="44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3"/>
    </row>
    <row r="170" spans="1:18" x14ac:dyDescent="0.3">
      <c r="A170" s="14"/>
      <c r="B170" s="14"/>
      <c r="C170" s="15"/>
      <c r="D170" s="15"/>
      <c r="E170" s="15"/>
      <c r="F170" s="15"/>
      <c r="G170" s="44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3"/>
    </row>
    <row r="171" spans="1:18" x14ac:dyDescent="0.3">
      <c r="A171" s="14"/>
      <c r="B171" s="14"/>
      <c r="C171" s="15"/>
      <c r="D171" s="15"/>
      <c r="E171" s="15"/>
      <c r="F171" s="15"/>
      <c r="G171" s="44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3"/>
    </row>
    <row r="172" spans="1:18" x14ac:dyDescent="0.3">
      <c r="A172" s="14"/>
      <c r="B172" s="14"/>
      <c r="C172" s="15"/>
      <c r="D172" s="15"/>
      <c r="E172" s="15"/>
      <c r="F172" s="15"/>
      <c r="G172" s="44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3"/>
    </row>
    <row r="173" spans="1:18" x14ac:dyDescent="0.3">
      <c r="A173" s="14"/>
      <c r="B173" s="14"/>
      <c r="C173" s="15"/>
      <c r="D173" s="15"/>
      <c r="E173" s="15"/>
      <c r="F173" s="15"/>
      <c r="G173" s="44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3"/>
    </row>
    <row r="174" spans="1:18" x14ac:dyDescent="0.3">
      <c r="A174" s="14"/>
      <c r="B174" s="14"/>
      <c r="C174" s="15"/>
      <c r="D174" s="15"/>
      <c r="E174" s="15"/>
      <c r="F174" s="15"/>
      <c r="G174" s="44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3"/>
    </row>
    <row r="175" spans="1:18" x14ac:dyDescent="0.3">
      <c r="A175" s="14"/>
      <c r="B175" s="14"/>
      <c r="C175" s="15"/>
      <c r="D175" s="15"/>
      <c r="E175" s="15"/>
      <c r="F175" s="15"/>
      <c r="G175" s="44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3"/>
    </row>
    <row r="176" spans="1:18" x14ac:dyDescent="0.3">
      <c r="A176" s="14"/>
      <c r="B176" s="14"/>
      <c r="C176" s="15"/>
      <c r="D176" s="15"/>
      <c r="E176" s="15"/>
      <c r="F176" s="15"/>
      <c r="G176" s="44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3"/>
    </row>
    <row r="177" spans="1:18" x14ac:dyDescent="0.3">
      <c r="A177" s="14"/>
      <c r="B177" s="14"/>
      <c r="C177" s="15"/>
      <c r="D177" s="15"/>
      <c r="E177" s="15"/>
      <c r="F177" s="15"/>
      <c r="G177" s="44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3"/>
    </row>
    <row r="178" spans="1:18" x14ac:dyDescent="0.3">
      <c r="A178" s="14"/>
      <c r="B178" s="14"/>
      <c r="C178" s="15"/>
      <c r="D178" s="15"/>
      <c r="E178" s="15"/>
      <c r="F178" s="15"/>
      <c r="G178" s="44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3"/>
    </row>
    <row r="179" spans="1:18" x14ac:dyDescent="0.3">
      <c r="A179" s="14"/>
      <c r="B179" s="14"/>
      <c r="C179" s="15"/>
      <c r="D179" s="15"/>
      <c r="E179" s="15"/>
      <c r="F179" s="15"/>
      <c r="G179" s="44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3"/>
    </row>
    <row r="180" spans="1:18" x14ac:dyDescent="0.3">
      <c r="A180" s="14"/>
      <c r="B180" s="14"/>
      <c r="C180" s="15"/>
      <c r="D180" s="15"/>
      <c r="E180" s="15"/>
      <c r="F180" s="15"/>
      <c r="G180" s="44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3"/>
    </row>
    <row r="181" spans="1:18" x14ac:dyDescent="0.3">
      <c r="A181" s="14"/>
      <c r="B181" s="14"/>
      <c r="C181" s="15"/>
      <c r="D181" s="15"/>
      <c r="E181" s="15"/>
      <c r="F181" s="15"/>
      <c r="G181" s="44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3"/>
    </row>
    <row r="182" spans="1:18" x14ac:dyDescent="0.3">
      <c r="A182" s="14"/>
      <c r="B182" s="14"/>
      <c r="C182" s="15"/>
      <c r="D182" s="15"/>
      <c r="E182" s="15"/>
      <c r="F182" s="15"/>
      <c r="G182" s="44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3"/>
    </row>
    <row r="183" spans="1:18" x14ac:dyDescent="0.3">
      <c r="A183" s="14"/>
      <c r="B183" s="14"/>
      <c r="C183" s="15"/>
      <c r="D183" s="15"/>
      <c r="E183" s="15"/>
      <c r="F183" s="15"/>
      <c r="G183" s="44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2"/>
    </row>
    <row r="184" spans="1:18" x14ac:dyDescent="0.3">
      <c r="A184" s="14"/>
      <c r="B184" s="14"/>
      <c r="C184" s="15"/>
      <c r="D184" s="15"/>
      <c r="E184" s="15"/>
      <c r="F184" s="15"/>
      <c r="G184" s="44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"/>
    </row>
    <row r="185" spans="1:18" x14ac:dyDescent="0.3">
      <c r="A185" s="14"/>
      <c r="B185" s="14"/>
      <c r="C185" s="15"/>
      <c r="D185" s="15"/>
      <c r="E185" s="15"/>
      <c r="F185" s="15"/>
      <c r="G185" s="44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4"/>
    </row>
    <row r="186" spans="1:18" x14ac:dyDescent="0.3">
      <c r="A186" s="14"/>
      <c r="B186" s="14"/>
      <c r="C186" s="15"/>
      <c r="D186" s="15"/>
      <c r="E186" s="15"/>
      <c r="F186" s="15"/>
      <c r="G186" s="44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4"/>
    </row>
    <row r="187" spans="1:18" x14ac:dyDescent="0.3">
      <c r="A187" s="14"/>
      <c r="B187" s="14"/>
      <c r="C187" s="15"/>
      <c r="D187" s="15"/>
      <c r="E187" s="15"/>
      <c r="F187" s="15"/>
      <c r="G187" s="44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4"/>
    </row>
    <row r="188" spans="1:18" x14ac:dyDescent="0.3">
      <c r="A188" s="14"/>
      <c r="B188" s="14"/>
      <c r="C188" s="15"/>
      <c r="D188" s="15"/>
      <c r="E188" s="15"/>
      <c r="F188" s="15"/>
      <c r="G188" s="44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4"/>
    </row>
    <row r="189" spans="1:18" x14ac:dyDescent="0.3">
      <c r="A189" s="14"/>
      <c r="B189" s="14"/>
      <c r="C189" s="15"/>
      <c r="D189" s="15"/>
      <c r="E189" s="15"/>
      <c r="F189" s="15"/>
      <c r="G189" s="44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4"/>
    </row>
    <row r="190" spans="1:18" x14ac:dyDescent="0.3">
      <c r="A190" s="14"/>
      <c r="B190" s="14"/>
      <c r="C190" s="15"/>
      <c r="D190" s="15"/>
      <c r="E190" s="15"/>
      <c r="F190" s="15"/>
      <c r="G190" s="44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4"/>
    </row>
    <row r="191" spans="1:18" x14ac:dyDescent="0.3">
      <c r="A191" s="14"/>
      <c r="B191" s="14"/>
      <c r="C191" s="15"/>
      <c r="D191" s="15"/>
      <c r="E191" s="15"/>
      <c r="F191" s="15"/>
      <c r="G191" s="44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4"/>
    </row>
    <row r="192" spans="1:18" x14ac:dyDescent="0.3">
      <c r="A192" s="14"/>
      <c r="B192" s="14"/>
      <c r="C192" s="15"/>
      <c r="D192" s="15"/>
      <c r="E192" s="15"/>
      <c r="F192" s="15"/>
      <c r="G192" s="44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4"/>
    </row>
    <row r="193" spans="1:18" x14ac:dyDescent="0.3">
      <c r="A193" s="14"/>
      <c r="B193" s="14"/>
      <c r="C193" s="15"/>
      <c r="D193" s="15"/>
      <c r="E193" s="15"/>
      <c r="F193" s="15"/>
      <c r="G193" s="44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4"/>
    </row>
    <row r="194" spans="1:18" x14ac:dyDescent="0.3">
      <c r="A194" s="14"/>
      <c r="B194" s="14"/>
      <c r="C194" s="15"/>
      <c r="D194" s="15"/>
      <c r="E194" s="15"/>
      <c r="F194" s="15"/>
      <c r="G194" s="44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4"/>
    </row>
    <row r="195" spans="1:18" x14ac:dyDescent="0.3">
      <c r="A195" s="14"/>
      <c r="B195" s="14"/>
      <c r="C195" s="15"/>
      <c r="D195" s="15"/>
      <c r="E195" s="15"/>
      <c r="F195" s="15"/>
      <c r="G195" s="44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4"/>
    </row>
    <row r="196" spans="1:18" x14ac:dyDescent="0.3">
      <c r="A196" s="14"/>
      <c r="B196" s="14"/>
      <c r="C196" s="15"/>
      <c r="D196" s="15"/>
      <c r="E196" s="15"/>
      <c r="F196" s="15"/>
      <c r="G196" s="44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4"/>
    </row>
    <row r="197" spans="1:18" x14ac:dyDescent="0.3">
      <c r="A197" s="14"/>
      <c r="B197" s="14"/>
      <c r="C197" s="15"/>
      <c r="D197" s="15"/>
      <c r="E197" s="15"/>
      <c r="F197" s="15"/>
      <c r="G197" s="44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4"/>
    </row>
    <row r="198" spans="1:18" x14ac:dyDescent="0.3">
      <c r="A198" s="14"/>
      <c r="B198" s="14"/>
      <c r="C198" s="15"/>
      <c r="D198" s="15"/>
      <c r="E198" s="15"/>
      <c r="F198" s="15"/>
      <c r="G198" s="44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4"/>
    </row>
    <row r="199" spans="1:18" x14ac:dyDescent="0.3">
      <c r="A199" s="14"/>
      <c r="B199" s="14"/>
      <c r="C199" s="15"/>
      <c r="D199" s="15"/>
      <c r="E199" s="15"/>
      <c r="F199" s="15"/>
      <c r="G199" s="44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4"/>
    </row>
    <row r="200" spans="1:18" x14ac:dyDescent="0.3">
      <c r="A200" s="14"/>
      <c r="B200" s="14"/>
      <c r="C200" s="15"/>
      <c r="D200" s="15"/>
      <c r="E200" s="15"/>
      <c r="F200" s="15"/>
      <c r="G200" s="44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4"/>
    </row>
    <row r="201" spans="1:18" x14ac:dyDescent="0.3">
      <c r="A201" s="14"/>
      <c r="B201" s="14"/>
      <c r="C201" s="15"/>
      <c r="D201" s="15"/>
      <c r="E201" s="15"/>
      <c r="F201" s="15"/>
      <c r="G201" s="44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4"/>
    </row>
    <row r="202" spans="1:18" x14ac:dyDescent="0.3">
      <c r="A202" s="14"/>
      <c r="B202" s="14"/>
      <c r="C202" s="15"/>
      <c r="D202" s="15"/>
      <c r="E202" s="15"/>
      <c r="F202" s="15"/>
      <c r="G202" s="44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4"/>
    </row>
    <row r="203" spans="1:18" x14ac:dyDescent="0.3">
      <c r="A203" s="14"/>
      <c r="B203" s="14"/>
      <c r="C203" s="15"/>
      <c r="D203" s="15"/>
      <c r="E203" s="15"/>
      <c r="F203" s="15"/>
      <c r="G203" s="44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4"/>
    </row>
    <row r="204" spans="1:18" x14ac:dyDescent="0.3">
      <c r="A204" s="14"/>
      <c r="B204" s="14"/>
      <c r="C204" s="15"/>
      <c r="D204" s="15"/>
      <c r="E204" s="15"/>
      <c r="F204" s="15"/>
      <c r="G204" s="44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4"/>
    </row>
    <row r="205" spans="1:18" x14ac:dyDescent="0.3">
      <c r="A205" s="14"/>
      <c r="B205" s="14"/>
      <c r="C205" s="15"/>
      <c r="D205" s="15"/>
      <c r="E205" s="15"/>
      <c r="F205" s="15"/>
      <c r="G205" s="44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4"/>
    </row>
    <row r="206" spans="1:18" x14ac:dyDescent="0.3">
      <c r="A206" s="14"/>
      <c r="B206" s="14"/>
      <c r="C206" s="15"/>
      <c r="D206" s="15"/>
      <c r="E206" s="15"/>
      <c r="F206" s="15"/>
      <c r="G206" s="44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4"/>
    </row>
    <row r="207" spans="1:18" x14ac:dyDescent="0.3">
      <c r="A207" s="14"/>
      <c r="B207" s="14"/>
      <c r="C207" s="15"/>
      <c r="D207" s="15"/>
      <c r="E207" s="15"/>
      <c r="F207" s="15"/>
      <c r="G207" s="44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4"/>
    </row>
    <row r="208" spans="1:18" x14ac:dyDescent="0.3">
      <c r="A208" s="14"/>
      <c r="B208" s="14"/>
      <c r="C208" s="15"/>
      <c r="D208" s="15"/>
      <c r="E208" s="15"/>
      <c r="F208" s="15"/>
      <c r="G208" s="44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4"/>
    </row>
    <row r="209" spans="1:18" x14ac:dyDescent="0.3">
      <c r="A209" s="14"/>
      <c r="B209" s="14"/>
      <c r="C209" s="15"/>
      <c r="D209" s="15"/>
      <c r="E209" s="15"/>
      <c r="F209" s="15"/>
      <c r="G209" s="44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4"/>
    </row>
    <row r="210" spans="1:18" x14ac:dyDescent="0.3">
      <c r="A210" s="14"/>
      <c r="B210" s="14"/>
      <c r="C210" s="15"/>
      <c r="D210" s="15"/>
      <c r="E210" s="15"/>
      <c r="F210" s="15"/>
      <c r="G210" s="44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4"/>
    </row>
    <row r="211" spans="1:18" x14ac:dyDescent="0.3">
      <c r="A211" s="14"/>
      <c r="B211" s="14"/>
      <c r="C211" s="15"/>
      <c r="D211" s="15"/>
      <c r="E211" s="15"/>
      <c r="F211" s="15"/>
      <c r="G211" s="44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4"/>
    </row>
    <row r="212" spans="1:18" x14ac:dyDescent="0.3">
      <c r="A212" s="14"/>
      <c r="B212" s="14"/>
      <c r="C212" s="15"/>
      <c r="D212" s="15"/>
      <c r="E212" s="15"/>
      <c r="F212" s="15"/>
      <c r="G212" s="44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4"/>
    </row>
    <row r="213" spans="1:18" x14ac:dyDescent="0.3">
      <c r="A213" s="14"/>
      <c r="B213" s="14"/>
      <c r="C213" s="15"/>
      <c r="D213" s="15"/>
      <c r="E213" s="15"/>
      <c r="F213" s="15"/>
      <c r="G213" s="44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4"/>
    </row>
    <row r="214" spans="1:18" x14ac:dyDescent="0.3">
      <c r="A214" s="14"/>
      <c r="B214" s="14"/>
      <c r="C214" s="15"/>
      <c r="D214" s="15"/>
      <c r="E214" s="15"/>
      <c r="F214" s="15"/>
      <c r="G214" s="44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4"/>
    </row>
    <row r="215" spans="1:18" x14ac:dyDescent="0.3">
      <c r="A215" s="14"/>
      <c r="B215" s="14"/>
      <c r="C215" s="15"/>
      <c r="D215" s="15"/>
      <c r="E215" s="15"/>
      <c r="F215" s="15"/>
      <c r="G215" s="44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4"/>
    </row>
    <row r="216" spans="1:18" x14ac:dyDescent="0.3">
      <c r="A216" s="14"/>
      <c r="B216" s="14"/>
      <c r="C216" s="15"/>
      <c r="D216" s="15"/>
      <c r="E216" s="15"/>
      <c r="F216" s="15"/>
      <c r="G216" s="44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4"/>
    </row>
    <row r="217" spans="1:18" x14ac:dyDescent="0.3">
      <c r="A217" s="14"/>
      <c r="B217" s="14"/>
      <c r="C217" s="15"/>
      <c r="D217" s="15"/>
      <c r="E217" s="15"/>
      <c r="F217" s="15"/>
      <c r="G217" s="44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4"/>
    </row>
    <row r="218" spans="1:18" x14ac:dyDescent="0.3">
      <c r="A218" s="14"/>
      <c r="B218" s="14"/>
      <c r="C218" s="15"/>
      <c r="D218" s="15"/>
      <c r="E218" s="15"/>
      <c r="F218" s="15"/>
      <c r="G218" s="44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4"/>
    </row>
    <row r="219" spans="1:18" x14ac:dyDescent="0.3">
      <c r="A219" s="14"/>
      <c r="B219" s="14"/>
      <c r="C219" s="15"/>
      <c r="D219" s="15"/>
      <c r="E219" s="15"/>
      <c r="F219" s="15"/>
      <c r="G219" s="44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4"/>
    </row>
    <row r="220" spans="1:18" x14ac:dyDescent="0.3">
      <c r="C220" s="3"/>
      <c r="D220" s="3"/>
      <c r="E220" s="3"/>
      <c r="F220" s="2"/>
      <c r="G220" s="43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4"/>
    </row>
    <row r="221" spans="1:18" x14ac:dyDescent="0.3">
      <c r="E221" s="3"/>
      <c r="F221" s="1" t="s">
        <v>17</v>
      </c>
      <c r="G221" s="41"/>
      <c r="H221" s="1" t="s">
        <v>16</v>
      </c>
      <c r="I221" s="2"/>
      <c r="J221" s="1" t="s">
        <v>17</v>
      </c>
      <c r="K221" s="1" t="s">
        <v>16</v>
      </c>
      <c r="L221" s="2"/>
      <c r="M221" s="1" t="s">
        <v>17</v>
      </c>
      <c r="N221" s="1" t="s">
        <v>16</v>
      </c>
      <c r="O221" s="2"/>
      <c r="P221" s="1" t="s">
        <v>17</v>
      </c>
      <c r="Q221" s="1" t="s">
        <v>16</v>
      </c>
      <c r="R221" s="4"/>
    </row>
    <row r="222" spans="1:18" x14ac:dyDescent="0.3">
      <c r="C222" s="2"/>
      <c r="D222" s="2"/>
      <c r="E222" s="3"/>
      <c r="F222" t="e">
        <f>(A130/$F$5)+(B130/$F$6)</f>
        <v>#DIV/0!</v>
      </c>
      <c r="H222" s="3" t="e">
        <f>E130-F130</f>
        <v>#DIV/0!</v>
      </c>
      <c r="I222" s="2"/>
      <c r="J222" t="e">
        <f>(A130/$J$5)+(B130/$J$6)</f>
        <v>#DIV/0!</v>
      </c>
      <c r="K222" s="3" t="e">
        <f>E130-J130</f>
        <v>#DIV/0!</v>
      </c>
      <c r="L222" s="2"/>
      <c r="M222" t="e">
        <f>(A130/$M$5)+(B130/$M$6)</f>
        <v>#DIV/0!</v>
      </c>
      <c r="N222" s="3" t="e">
        <f>E130-M130</f>
        <v>#DIV/0!</v>
      </c>
      <c r="O222" s="2"/>
      <c r="P222" t="e">
        <f>(A130/$P$5)+(B130/$P$6)</f>
        <v>#DIV/0!</v>
      </c>
      <c r="Q222" s="4" t="e">
        <f>E130-P130</f>
        <v>#DIV/0!</v>
      </c>
      <c r="R222" s="4"/>
    </row>
    <row r="223" spans="1:18" x14ac:dyDescent="0.3">
      <c r="C223" s="2"/>
      <c r="D223" s="2"/>
      <c r="E223" s="3"/>
      <c r="F223" t="e">
        <f t="shared" ref="F223:F286" si="16">(A131/$F$5)+(B131/$F$6)</f>
        <v>#DIV/0!</v>
      </c>
      <c r="H223" s="3">
        <f t="shared" ref="H223:H286" si="17">E131-F131</f>
        <v>0</v>
      </c>
      <c r="I223" s="2"/>
      <c r="J223" t="e">
        <f t="shared" ref="J223:J286" si="18">(A131/$J$5)+(B131/$J$6)</f>
        <v>#DIV/0!</v>
      </c>
      <c r="K223" s="3">
        <f t="shared" ref="K223:K286" si="19">E131-J131</f>
        <v>0</v>
      </c>
      <c r="L223" s="2"/>
      <c r="M223" t="e">
        <f t="shared" ref="M223:M286" si="20">(A131/$M$5)+(B131/$M$6)</f>
        <v>#DIV/0!</v>
      </c>
      <c r="N223" s="3">
        <f t="shared" ref="N223:N286" si="21">E131-M131</f>
        <v>0</v>
      </c>
      <c r="O223" s="2"/>
      <c r="P223" t="e">
        <f t="shared" ref="P223:P286" si="22">(A131/$P$5)+(B131/$P$6)</f>
        <v>#DIV/0!</v>
      </c>
      <c r="Q223" s="4">
        <f t="shared" ref="Q223:Q286" si="23">E131-P131</f>
        <v>0</v>
      </c>
      <c r="R223" s="4"/>
    </row>
    <row r="224" spans="1:18" x14ac:dyDescent="0.3">
      <c r="C224" s="2"/>
      <c r="D224" s="2"/>
      <c r="E224" s="3"/>
      <c r="F224" t="e">
        <f t="shared" si="16"/>
        <v>#DIV/0!</v>
      </c>
      <c r="H224" s="3">
        <f t="shared" si="17"/>
        <v>0</v>
      </c>
      <c r="I224" s="2"/>
      <c r="J224" t="e">
        <f t="shared" si="18"/>
        <v>#DIV/0!</v>
      </c>
      <c r="K224" s="3">
        <f t="shared" si="19"/>
        <v>0</v>
      </c>
      <c r="L224" s="2"/>
      <c r="M224" t="e">
        <f t="shared" si="20"/>
        <v>#DIV/0!</v>
      </c>
      <c r="N224" s="3">
        <f t="shared" si="21"/>
        <v>0</v>
      </c>
      <c r="O224" s="2"/>
      <c r="P224" t="e">
        <f t="shared" si="22"/>
        <v>#DIV/0!</v>
      </c>
      <c r="Q224" s="4">
        <f t="shared" si="23"/>
        <v>0</v>
      </c>
      <c r="R224" s="4"/>
    </row>
    <row r="225" spans="3:18" x14ac:dyDescent="0.3">
      <c r="C225" s="2"/>
      <c r="D225" s="2"/>
      <c r="E225" s="3"/>
      <c r="F225" t="e">
        <f t="shared" si="16"/>
        <v>#DIV/0!</v>
      </c>
      <c r="H225" s="3">
        <f t="shared" si="17"/>
        <v>0</v>
      </c>
      <c r="I225" s="2"/>
      <c r="J225" t="e">
        <f t="shared" si="18"/>
        <v>#DIV/0!</v>
      </c>
      <c r="K225" s="3">
        <f t="shared" si="19"/>
        <v>0</v>
      </c>
      <c r="L225" s="2"/>
      <c r="M225" t="e">
        <f t="shared" si="20"/>
        <v>#DIV/0!</v>
      </c>
      <c r="N225" s="3">
        <f t="shared" si="21"/>
        <v>0</v>
      </c>
      <c r="O225" s="2"/>
      <c r="P225" t="e">
        <f t="shared" si="22"/>
        <v>#DIV/0!</v>
      </c>
      <c r="Q225" s="4">
        <f t="shared" si="23"/>
        <v>0</v>
      </c>
      <c r="R225" s="4"/>
    </row>
    <row r="226" spans="3:18" x14ac:dyDescent="0.3">
      <c r="C226" s="2"/>
      <c r="D226" s="2"/>
      <c r="F226" t="e">
        <f t="shared" si="16"/>
        <v>#DIV/0!</v>
      </c>
      <c r="H226" s="3">
        <f t="shared" si="17"/>
        <v>0</v>
      </c>
      <c r="I226" s="2"/>
      <c r="J226" t="e">
        <f t="shared" si="18"/>
        <v>#DIV/0!</v>
      </c>
      <c r="K226" s="3">
        <f t="shared" si="19"/>
        <v>0</v>
      </c>
      <c r="L226" s="2"/>
      <c r="M226" t="e">
        <f t="shared" si="20"/>
        <v>#DIV/0!</v>
      </c>
      <c r="N226" s="3">
        <f t="shared" si="21"/>
        <v>0</v>
      </c>
      <c r="O226" s="2"/>
      <c r="P226" t="e">
        <f t="shared" si="22"/>
        <v>#DIV/0!</v>
      </c>
      <c r="Q226" s="4">
        <f t="shared" si="23"/>
        <v>0</v>
      </c>
      <c r="R226" s="4"/>
    </row>
    <row r="227" spans="3:18" x14ac:dyDescent="0.3">
      <c r="C227" s="2"/>
      <c r="D227" s="2"/>
      <c r="E227" s="2"/>
      <c r="F227" t="e">
        <f t="shared" si="16"/>
        <v>#DIV/0!</v>
      </c>
      <c r="H227" s="3">
        <f t="shared" si="17"/>
        <v>0</v>
      </c>
      <c r="I227" s="2"/>
      <c r="J227" t="e">
        <f t="shared" si="18"/>
        <v>#DIV/0!</v>
      </c>
      <c r="K227" s="3">
        <f t="shared" si="19"/>
        <v>0</v>
      </c>
      <c r="L227" s="2"/>
      <c r="M227" t="e">
        <f t="shared" si="20"/>
        <v>#DIV/0!</v>
      </c>
      <c r="N227" s="3">
        <f t="shared" si="21"/>
        <v>0</v>
      </c>
      <c r="O227" s="2"/>
      <c r="P227" t="e">
        <f t="shared" si="22"/>
        <v>#DIV/0!</v>
      </c>
      <c r="Q227" s="4">
        <f t="shared" si="23"/>
        <v>0</v>
      </c>
      <c r="R227" s="4"/>
    </row>
    <row r="228" spans="3:18" x14ac:dyDescent="0.3">
      <c r="C228" s="2"/>
      <c r="D228" s="2"/>
      <c r="E228" s="2"/>
      <c r="F228" t="e">
        <f t="shared" si="16"/>
        <v>#DIV/0!</v>
      </c>
      <c r="H228" s="3">
        <f t="shared" si="17"/>
        <v>0</v>
      </c>
      <c r="I228" s="2"/>
      <c r="J228" t="e">
        <f t="shared" si="18"/>
        <v>#DIV/0!</v>
      </c>
      <c r="K228" s="3">
        <f t="shared" si="19"/>
        <v>0</v>
      </c>
      <c r="L228" s="2"/>
      <c r="M228" t="e">
        <f t="shared" si="20"/>
        <v>#DIV/0!</v>
      </c>
      <c r="N228" s="3">
        <f t="shared" si="21"/>
        <v>0</v>
      </c>
      <c r="O228" s="2"/>
      <c r="P228" t="e">
        <f t="shared" si="22"/>
        <v>#DIV/0!</v>
      </c>
      <c r="Q228" s="4">
        <f t="shared" si="23"/>
        <v>0</v>
      </c>
      <c r="R228" s="4"/>
    </row>
    <row r="229" spans="3:18" x14ac:dyDescent="0.3">
      <c r="C229" s="2"/>
      <c r="D229" s="2"/>
      <c r="E229" s="2"/>
      <c r="F229" t="e">
        <f t="shared" si="16"/>
        <v>#DIV/0!</v>
      </c>
      <c r="H229" s="3">
        <f t="shared" si="17"/>
        <v>0</v>
      </c>
      <c r="I229" s="2"/>
      <c r="J229" t="e">
        <f t="shared" si="18"/>
        <v>#DIV/0!</v>
      </c>
      <c r="K229" s="3">
        <f t="shared" si="19"/>
        <v>0</v>
      </c>
      <c r="L229" s="2"/>
      <c r="M229" t="e">
        <f t="shared" si="20"/>
        <v>#DIV/0!</v>
      </c>
      <c r="N229" s="3">
        <f t="shared" si="21"/>
        <v>0</v>
      </c>
      <c r="O229" s="2"/>
      <c r="P229" t="e">
        <f t="shared" si="22"/>
        <v>#DIV/0!</v>
      </c>
      <c r="Q229" s="4">
        <f t="shared" si="23"/>
        <v>0</v>
      </c>
      <c r="R229" s="4"/>
    </row>
    <row r="230" spans="3:18" x14ac:dyDescent="0.3">
      <c r="C230" s="2"/>
      <c r="D230" s="2"/>
      <c r="E230" s="2"/>
      <c r="F230" t="e">
        <f t="shared" si="16"/>
        <v>#DIV/0!</v>
      </c>
      <c r="H230" s="3">
        <f t="shared" si="17"/>
        <v>0</v>
      </c>
      <c r="I230" s="2"/>
      <c r="J230" t="e">
        <f t="shared" si="18"/>
        <v>#DIV/0!</v>
      </c>
      <c r="K230" s="3">
        <f t="shared" si="19"/>
        <v>0</v>
      </c>
      <c r="L230" s="2"/>
      <c r="M230" t="e">
        <f t="shared" si="20"/>
        <v>#DIV/0!</v>
      </c>
      <c r="N230" s="3">
        <f t="shared" si="21"/>
        <v>0</v>
      </c>
      <c r="O230" s="2"/>
      <c r="P230" t="e">
        <f t="shared" si="22"/>
        <v>#DIV/0!</v>
      </c>
      <c r="Q230" s="4">
        <f t="shared" si="23"/>
        <v>0</v>
      </c>
      <c r="R230" s="4"/>
    </row>
    <row r="231" spans="3:18" x14ac:dyDescent="0.3">
      <c r="E231" s="2"/>
      <c r="F231" t="e">
        <f t="shared" si="16"/>
        <v>#DIV/0!</v>
      </c>
      <c r="H231" s="3">
        <f t="shared" si="17"/>
        <v>0</v>
      </c>
      <c r="I231" s="2"/>
      <c r="J231" t="e">
        <f t="shared" si="18"/>
        <v>#DIV/0!</v>
      </c>
      <c r="K231" s="3">
        <f t="shared" si="19"/>
        <v>0</v>
      </c>
      <c r="L231" s="2"/>
      <c r="M231" t="e">
        <f t="shared" si="20"/>
        <v>#DIV/0!</v>
      </c>
      <c r="N231" s="3">
        <f t="shared" si="21"/>
        <v>0</v>
      </c>
      <c r="O231" s="2"/>
      <c r="P231" t="e">
        <f t="shared" si="22"/>
        <v>#DIV/0!</v>
      </c>
      <c r="Q231" s="4">
        <f t="shared" si="23"/>
        <v>0</v>
      </c>
      <c r="R231" s="4"/>
    </row>
    <row r="232" spans="3:18" x14ac:dyDescent="0.3">
      <c r="E232" s="2"/>
      <c r="F232" t="e">
        <f t="shared" si="16"/>
        <v>#DIV/0!</v>
      </c>
      <c r="H232" s="3">
        <f t="shared" si="17"/>
        <v>0</v>
      </c>
      <c r="I232" s="2"/>
      <c r="J232" t="e">
        <f t="shared" si="18"/>
        <v>#DIV/0!</v>
      </c>
      <c r="K232" s="3">
        <f t="shared" si="19"/>
        <v>0</v>
      </c>
      <c r="L232" s="2"/>
      <c r="M232" t="e">
        <f t="shared" si="20"/>
        <v>#DIV/0!</v>
      </c>
      <c r="N232" s="3">
        <f t="shared" si="21"/>
        <v>0</v>
      </c>
      <c r="O232" s="2"/>
      <c r="P232" t="e">
        <f t="shared" si="22"/>
        <v>#DIV/0!</v>
      </c>
      <c r="Q232" s="4">
        <f t="shared" si="23"/>
        <v>0</v>
      </c>
      <c r="R232" s="4"/>
    </row>
    <row r="233" spans="3:18" x14ac:dyDescent="0.3">
      <c r="E233" s="2"/>
      <c r="F233" t="e">
        <f t="shared" si="16"/>
        <v>#DIV/0!</v>
      </c>
      <c r="H233" s="3">
        <f t="shared" si="17"/>
        <v>0</v>
      </c>
      <c r="I233" s="2"/>
      <c r="J233" t="e">
        <f t="shared" si="18"/>
        <v>#DIV/0!</v>
      </c>
      <c r="K233" s="3">
        <f t="shared" si="19"/>
        <v>0</v>
      </c>
      <c r="L233" s="2"/>
      <c r="M233" t="e">
        <f t="shared" si="20"/>
        <v>#DIV/0!</v>
      </c>
      <c r="N233" s="3">
        <f t="shared" si="21"/>
        <v>0</v>
      </c>
      <c r="O233" s="2"/>
      <c r="P233" t="e">
        <f t="shared" si="22"/>
        <v>#DIV/0!</v>
      </c>
      <c r="Q233" s="4">
        <f t="shared" si="23"/>
        <v>0</v>
      </c>
      <c r="R233" s="4"/>
    </row>
    <row r="234" spans="3:18" x14ac:dyDescent="0.3">
      <c r="E234" s="2"/>
      <c r="F234" t="e">
        <f t="shared" si="16"/>
        <v>#DIV/0!</v>
      </c>
      <c r="H234" s="3">
        <f t="shared" si="17"/>
        <v>0</v>
      </c>
      <c r="I234" s="2"/>
      <c r="J234" t="e">
        <f t="shared" si="18"/>
        <v>#DIV/0!</v>
      </c>
      <c r="K234" s="3">
        <f t="shared" si="19"/>
        <v>0</v>
      </c>
      <c r="L234" s="2"/>
      <c r="M234" t="e">
        <f t="shared" si="20"/>
        <v>#DIV/0!</v>
      </c>
      <c r="N234" s="3">
        <f t="shared" si="21"/>
        <v>0</v>
      </c>
      <c r="O234" s="2"/>
      <c r="P234" t="e">
        <f t="shared" si="22"/>
        <v>#DIV/0!</v>
      </c>
      <c r="Q234" s="4">
        <f t="shared" si="23"/>
        <v>0</v>
      </c>
      <c r="R234" s="4"/>
    </row>
    <row r="235" spans="3:18" x14ac:dyDescent="0.3">
      <c r="E235" s="2"/>
      <c r="F235" t="e">
        <f t="shared" si="16"/>
        <v>#DIV/0!</v>
      </c>
      <c r="H235" s="3">
        <f t="shared" si="17"/>
        <v>0</v>
      </c>
      <c r="I235" s="2"/>
      <c r="J235" t="e">
        <f t="shared" si="18"/>
        <v>#DIV/0!</v>
      </c>
      <c r="K235" s="3">
        <f t="shared" si="19"/>
        <v>0</v>
      </c>
      <c r="L235" s="2"/>
      <c r="M235" t="e">
        <f t="shared" si="20"/>
        <v>#DIV/0!</v>
      </c>
      <c r="N235" s="3">
        <f t="shared" si="21"/>
        <v>0</v>
      </c>
      <c r="O235" s="2"/>
      <c r="P235" t="e">
        <f t="shared" si="22"/>
        <v>#DIV/0!</v>
      </c>
      <c r="Q235" s="4">
        <f t="shared" si="23"/>
        <v>0</v>
      </c>
      <c r="R235" s="4"/>
    </row>
    <row r="236" spans="3:18" x14ac:dyDescent="0.3">
      <c r="F236" t="e">
        <f t="shared" si="16"/>
        <v>#DIV/0!</v>
      </c>
      <c r="H236" s="3">
        <f t="shared" si="17"/>
        <v>0</v>
      </c>
      <c r="I236" s="2"/>
      <c r="J236" t="e">
        <f t="shared" si="18"/>
        <v>#DIV/0!</v>
      </c>
      <c r="K236" s="3">
        <f t="shared" si="19"/>
        <v>0</v>
      </c>
      <c r="L236" s="2"/>
      <c r="M236" t="e">
        <f t="shared" si="20"/>
        <v>#DIV/0!</v>
      </c>
      <c r="N236" s="3">
        <f t="shared" si="21"/>
        <v>0</v>
      </c>
      <c r="O236" s="2"/>
      <c r="P236" t="e">
        <f t="shared" si="22"/>
        <v>#DIV/0!</v>
      </c>
      <c r="Q236" s="4">
        <f t="shared" si="23"/>
        <v>0</v>
      </c>
      <c r="R236" s="4"/>
    </row>
    <row r="237" spans="3:18" x14ac:dyDescent="0.3">
      <c r="F237" t="e">
        <f t="shared" si="16"/>
        <v>#DIV/0!</v>
      </c>
      <c r="H237" s="3">
        <f t="shared" si="17"/>
        <v>0</v>
      </c>
      <c r="I237" s="2"/>
      <c r="J237" t="e">
        <f t="shared" si="18"/>
        <v>#DIV/0!</v>
      </c>
      <c r="K237" s="3">
        <f t="shared" si="19"/>
        <v>0</v>
      </c>
      <c r="L237" s="2"/>
      <c r="M237" t="e">
        <f t="shared" si="20"/>
        <v>#DIV/0!</v>
      </c>
      <c r="N237" s="3">
        <f t="shared" si="21"/>
        <v>0</v>
      </c>
      <c r="O237" s="2"/>
      <c r="P237" t="e">
        <f t="shared" si="22"/>
        <v>#DIV/0!</v>
      </c>
      <c r="Q237" s="4">
        <f t="shared" si="23"/>
        <v>0</v>
      </c>
      <c r="R237" s="4"/>
    </row>
    <row r="238" spans="3:18" x14ac:dyDescent="0.3">
      <c r="F238" t="e">
        <f t="shared" si="16"/>
        <v>#DIV/0!</v>
      </c>
      <c r="H238" s="3">
        <f t="shared" si="17"/>
        <v>0</v>
      </c>
      <c r="I238" s="2"/>
      <c r="J238" t="e">
        <f t="shared" si="18"/>
        <v>#DIV/0!</v>
      </c>
      <c r="K238" s="3">
        <f t="shared" si="19"/>
        <v>0</v>
      </c>
      <c r="L238" s="2"/>
      <c r="M238" t="e">
        <f t="shared" si="20"/>
        <v>#DIV/0!</v>
      </c>
      <c r="N238" s="3">
        <f t="shared" si="21"/>
        <v>0</v>
      </c>
      <c r="O238" s="2"/>
      <c r="P238" t="e">
        <f t="shared" si="22"/>
        <v>#DIV/0!</v>
      </c>
      <c r="Q238" s="4">
        <f t="shared" si="23"/>
        <v>0</v>
      </c>
      <c r="R238" s="4"/>
    </row>
    <row r="239" spans="3:18" x14ac:dyDescent="0.3">
      <c r="F239" t="e">
        <f t="shared" si="16"/>
        <v>#DIV/0!</v>
      </c>
      <c r="H239" s="3">
        <f t="shared" si="17"/>
        <v>0</v>
      </c>
      <c r="I239" s="2"/>
      <c r="J239" t="e">
        <f t="shared" si="18"/>
        <v>#DIV/0!</v>
      </c>
      <c r="K239" s="3">
        <f t="shared" si="19"/>
        <v>0</v>
      </c>
      <c r="L239" s="2"/>
      <c r="M239" t="e">
        <f t="shared" si="20"/>
        <v>#DIV/0!</v>
      </c>
      <c r="N239" s="3">
        <f t="shared" si="21"/>
        <v>0</v>
      </c>
      <c r="O239" s="2"/>
      <c r="P239" t="e">
        <f t="shared" si="22"/>
        <v>#DIV/0!</v>
      </c>
      <c r="Q239" s="4">
        <f t="shared" si="23"/>
        <v>0</v>
      </c>
      <c r="R239" s="4"/>
    </row>
    <row r="240" spans="3:18" x14ac:dyDescent="0.3">
      <c r="F240" t="e">
        <f t="shared" si="16"/>
        <v>#DIV/0!</v>
      </c>
      <c r="H240" s="3">
        <f t="shared" si="17"/>
        <v>0</v>
      </c>
      <c r="I240" s="2"/>
      <c r="J240" t="e">
        <f t="shared" si="18"/>
        <v>#DIV/0!</v>
      </c>
      <c r="K240" s="3">
        <f t="shared" si="19"/>
        <v>0</v>
      </c>
      <c r="L240" s="2"/>
      <c r="M240" t="e">
        <f t="shared" si="20"/>
        <v>#DIV/0!</v>
      </c>
      <c r="N240" s="3">
        <f t="shared" si="21"/>
        <v>0</v>
      </c>
      <c r="O240" s="2"/>
      <c r="P240" t="e">
        <f t="shared" si="22"/>
        <v>#DIV/0!</v>
      </c>
      <c r="Q240" s="4">
        <f t="shared" si="23"/>
        <v>0</v>
      </c>
      <c r="R240" s="4"/>
    </row>
    <row r="241" spans="6:18" x14ac:dyDescent="0.3">
      <c r="F241" t="e">
        <f t="shared" si="16"/>
        <v>#DIV/0!</v>
      </c>
      <c r="H241" s="3">
        <f t="shared" si="17"/>
        <v>0</v>
      </c>
      <c r="I241" s="2"/>
      <c r="J241" t="e">
        <f t="shared" si="18"/>
        <v>#DIV/0!</v>
      </c>
      <c r="K241" s="3">
        <f t="shared" si="19"/>
        <v>0</v>
      </c>
      <c r="L241" s="2"/>
      <c r="M241" t="e">
        <f t="shared" si="20"/>
        <v>#DIV/0!</v>
      </c>
      <c r="N241" s="3">
        <f t="shared" si="21"/>
        <v>0</v>
      </c>
      <c r="O241" s="2"/>
      <c r="P241" t="e">
        <f t="shared" si="22"/>
        <v>#DIV/0!</v>
      </c>
      <c r="Q241" s="4">
        <f t="shared" si="23"/>
        <v>0</v>
      </c>
      <c r="R241" s="4"/>
    </row>
    <row r="242" spans="6:18" x14ac:dyDescent="0.3">
      <c r="F242" t="e">
        <f t="shared" si="16"/>
        <v>#DIV/0!</v>
      </c>
      <c r="H242" s="3">
        <f t="shared" si="17"/>
        <v>0</v>
      </c>
      <c r="I242" s="2"/>
      <c r="J242" t="e">
        <f t="shared" si="18"/>
        <v>#DIV/0!</v>
      </c>
      <c r="K242" s="3">
        <f t="shared" si="19"/>
        <v>0</v>
      </c>
      <c r="L242" s="2"/>
      <c r="M242" t="e">
        <f t="shared" si="20"/>
        <v>#DIV/0!</v>
      </c>
      <c r="N242" s="3">
        <f t="shared" si="21"/>
        <v>0</v>
      </c>
      <c r="O242" s="2"/>
      <c r="P242" t="e">
        <f t="shared" si="22"/>
        <v>#DIV/0!</v>
      </c>
      <c r="Q242" s="4">
        <f t="shared" si="23"/>
        <v>0</v>
      </c>
      <c r="R242" s="4"/>
    </row>
    <row r="243" spans="6:18" x14ac:dyDescent="0.3">
      <c r="F243" t="e">
        <f t="shared" si="16"/>
        <v>#DIV/0!</v>
      </c>
      <c r="H243" s="3">
        <f t="shared" si="17"/>
        <v>0</v>
      </c>
      <c r="I243" s="2"/>
      <c r="J243" t="e">
        <f t="shared" si="18"/>
        <v>#DIV/0!</v>
      </c>
      <c r="K243" s="3">
        <f t="shared" si="19"/>
        <v>0</v>
      </c>
      <c r="L243" s="2"/>
      <c r="M243" t="e">
        <f t="shared" si="20"/>
        <v>#DIV/0!</v>
      </c>
      <c r="N243" s="3">
        <f t="shared" si="21"/>
        <v>0</v>
      </c>
      <c r="O243" s="2"/>
      <c r="P243" t="e">
        <f t="shared" si="22"/>
        <v>#DIV/0!</v>
      </c>
      <c r="Q243" s="4">
        <f t="shared" si="23"/>
        <v>0</v>
      </c>
      <c r="R243" s="4"/>
    </row>
    <row r="244" spans="6:18" x14ac:dyDescent="0.3">
      <c r="F244" t="e">
        <f t="shared" si="16"/>
        <v>#DIV/0!</v>
      </c>
      <c r="H244" s="3">
        <f t="shared" si="17"/>
        <v>0</v>
      </c>
      <c r="I244" s="2"/>
      <c r="J244" t="e">
        <f t="shared" si="18"/>
        <v>#DIV/0!</v>
      </c>
      <c r="K244" s="3">
        <f t="shared" si="19"/>
        <v>0</v>
      </c>
      <c r="L244" s="2"/>
      <c r="M244" t="e">
        <f t="shared" si="20"/>
        <v>#DIV/0!</v>
      </c>
      <c r="N244" s="3">
        <f t="shared" si="21"/>
        <v>0</v>
      </c>
      <c r="O244" s="2"/>
      <c r="P244" t="e">
        <f t="shared" si="22"/>
        <v>#DIV/0!</v>
      </c>
      <c r="Q244" s="4">
        <f t="shared" si="23"/>
        <v>0</v>
      </c>
      <c r="R244" s="4"/>
    </row>
    <row r="245" spans="6:18" x14ac:dyDescent="0.3">
      <c r="F245" t="e">
        <f t="shared" si="16"/>
        <v>#DIV/0!</v>
      </c>
      <c r="H245" s="3">
        <f t="shared" si="17"/>
        <v>0</v>
      </c>
      <c r="I245" s="2"/>
      <c r="J245" t="e">
        <f t="shared" si="18"/>
        <v>#DIV/0!</v>
      </c>
      <c r="K245" s="3">
        <f t="shared" si="19"/>
        <v>0</v>
      </c>
      <c r="L245" s="2"/>
      <c r="M245" t="e">
        <f t="shared" si="20"/>
        <v>#DIV/0!</v>
      </c>
      <c r="N245" s="3">
        <f t="shared" si="21"/>
        <v>0</v>
      </c>
      <c r="O245" s="2"/>
      <c r="P245" t="e">
        <f t="shared" si="22"/>
        <v>#DIV/0!</v>
      </c>
      <c r="Q245" s="4">
        <f t="shared" si="23"/>
        <v>0</v>
      </c>
      <c r="R245" s="4"/>
    </row>
    <row r="246" spans="6:18" x14ac:dyDescent="0.3">
      <c r="F246" t="e">
        <f t="shared" si="16"/>
        <v>#DIV/0!</v>
      </c>
      <c r="H246" s="3">
        <f t="shared" si="17"/>
        <v>0</v>
      </c>
      <c r="I246" s="2"/>
      <c r="J246" t="e">
        <f t="shared" si="18"/>
        <v>#DIV/0!</v>
      </c>
      <c r="K246" s="3">
        <f t="shared" si="19"/>
        <v>0</v>
      </c>
      <c r="L246" s="2"/>
      <c r="M246" t="e">
        <f t="shared" si="20"/>
        <v>#DIV/0!</v>
      </c>
      <c r="N246" s="3">
        <f t="shared" si="21"/>
        <v>0</v>
      </c>
      <c r="O246" s="2"/>
      <c r="P246" t="e">
        <f t="shared" si="22"/>
        <v>#DIV/0!</v>
      </c>
      <c r="Q246" s="4">
        <f t="shared" si="23"/>
        <v>0</v>
      </c>
      <c r="R246" s="4"/>
    </row>
    <row r="247" spans="6:18" x14ac:dyDescent="0.3">
      <c r="F247" t="e">
        <f t="shared" si="16"/>
        <v>#DIV/0!</v>
      </c>
      <c r="H247" s="3">
        <f t="shared" si="17"/>
        <v>0</v>
      </c>
      <c r="I247" s="2"/>
      <c r="J247" t="e">
        <f t="shared" si="18"/>
        <v>#DIV/0!</v>
      </c>
      <c r="K247" s="3">
        <f t="shared" si="19"/>
        <v>0</v>
      </c>
      <c r="L247" s="2"/>
      <c r="M247" t="e">
        <f t="shared" si="20"/>
        <v>#DIV/0!</v>
      </c>
      <c r="N247" s="3">
        <f t="shared" si="21"/>
        <v>0</v>
      </c>
      <c r="O247" s="2"/>
      <c r="P247" t="e">
        <f t="shared" si="22"/>
        <v>#DIV/0!</v>
      </c>
      <c r="Q247" s="4">
        <f t="shared" si="23"/>
        <v>0</v>
      </c>
      <c r="R247" s="4"/>
    </row>
    <row r="248" spans="6:18" x14ac:dyDescent="0.3">
      <c r="F248" t="e">
        <f t="shared" si="16"/>
        <v>#DIV/0!</v>
      </c>
      <c r="H248" s="3">
        <f t="shared" si="17"/>
        <v>0</v>
      </c>
      <c r="I248" s="2"/>
      <c r="J248" t="e">
        <f t="shared" si="18"/>
        <v>#DIV/0!</v>
      </c>
      <c r="K248" s="3">
        <f t="shared" si="19"/>
        <v>0</v>
      </c>
      <c r="L248" s="2"/>
      <c r="M248" t="e">
        <f t="shared" si="20"/>
        <v>#DIV/0!</v>
      </c>
      <c r="N248" s="3">
        <f t="shared" si="21"/>
        <v>0</v>
      </c>
      <c r="O248" s="2"/>
      <c r="P248" t="e">
        <f t="shared" si="22"/>
        <v>#DIV/0!</v>
      </c>
      <c r="Q248" s="4">
        <f t="shared" si="23"/>
        <v>0</v>
      </c>
      <c r="R248" s="4"/>
    </row>
    <row r="249" spans="6:18" x14ac:dyDescent="0.3">
      <c r="F249" t="e">
        <f t="shared" si="16"/>
        <v>#DIV/0!</v>
      </c>
      <c r="H249" s="3">
        <f t="shared" si="17"/>
        <v>0</v>
      </c>
      <c r="I249" s="2"/>
      <c r="J249" t="e">
        <f t="shared" si="18"/>
        <v>#DIV/0!</v>
      </c>
      <c r="K249" s="3">
        <f t="shared" si="19"/>
        <v>0</v>
      </c>
      <c r="L249" s="2"/>
      <c r="M249" t="e">
        <f t="shared" si="20"/>
        <v>#DIV/0!</v>
      </c>
      <c r="N249" s="3">
        <f t="shared" si="21"/>
        <v>0</v>
      </c>
      <c r="O249" s="2"/>
      <c r="P249" t="e">
        <f t="shared" si="22"/>
        <v>#DIV/0!</v>
      </c>
      <c r="Q249" s="4">
        <f t="shared" si="23"/>
        <v>0</v>
      </c>
      <c r="R249" s="4"/>
    </row>
    <row r="250" spans="6:18" x14ac:dyDescent="0.3">
      <c r="F250" t="e">
        <f t="shared" si="16"/>
        <v>#DIV/0!</v>
      </c>
      <c r="H250" s="3">
        <f t="shared" si="17"/>
        <v>0</v>
      </c>
      <c r="I250" s="2"/>
      <c r="J250" t="e">
        <f t="shared" si="18"/>
        <v>#DIV/0!</v>
      </c>
      <c r="K250" s="3">
        <f t="shared" si="19"/>
        <v>0</v>
      </c>
      <c r="L250" s="2"/>
      <c r="M250" t="e">
        <f t="shared" si="20"/>
        <v>#DIV/0!</v>
      </c>
      <c r="N250" s="3">
        <f t="shared" si="21"/>
        <v>0</v>
      </c>
      <c r="O250" s="2"/>
      <c r="P250" t="e">
        <f t="shared" si="22"/>
        <v>#DIV/0!</v>
      </c>
      <c r="Q250" s="4">
        <f t="shared" si="23"/>
        <v>0</v>
      </c>
      <c r="R250" s="4"/>
    </row>
    <row r="251" spans="6:18" x14ac:dyDescent="0.3">
      <c r="F251" t="e">
        <f t="shared" si="16"/>
        <v>#DIV/0!</v>
      </c>
      <c r="H251" s="3">
        <f t="shared" si="17"/>
        <v>0</v>
      </c>
      <c r="I251" s="2"/>
      <c r="J251" t="e">
        <f t="shared" si="18"/>
        <v>#DIV/0!</v>
      </c>
      <c r="K251" s="3">
        <f t="shared" si="19"/>
        <v>0</v>
      </c>
      <c r="L251" s="2"/>
      <c r="M251" t="e">
        <f t="shared" si="20"/>
        <v>#DIV/0!</v>
      </c>
      <c r="N251" s="3">
        <f t="shared" si="21"/>
        <v>0</v>
      </c>
      <c r="O251" s="2"/>
      <c r="P251" t="e">
        <f t="shared" si="22"/>
        <v>#DIV/0!</v>
      </c>
      <c r="Q251" s="4">
        <f t="shared" si="23"/>
        <v>0</v>
      </c>
      <c r="R251" s="4"/>
    </row>
    <row r="252" spans="6:18" x14ac:dyDescent="0.3">
      <c r="F252" t="e">
        <f t="shared" si="16"/>
        <v>#DIV/0!</v>
      </c>
      <c r="H252" s="3">
        <f t="shared" si="17"/>
        <v>0</v>
      </c>
      <c r="I252" s="2"/>
      <c r="J252" t="e">
        <f t="shared" si="18"/>
        <v>#DIV/0!</v>
      </c>
      <c r="K252" s="3">
        <f t="shared" si="19"/>
        <v>0</v>
      </c>
      <c r="L252" s="2"/>
      <c r="M252" t="e">
        <f t="shared" si="20"/>
        <v>#DIV/0!</v>
      </c>
      <c r="N252" s="3">
        <f t="shared" si="21"/>
        <v>0</v>
      </c>
      <c r="O252" s="2"/>
      <c r="P252" t="e">
        <f t="shared" si="22"/>
        <v>#DIV/0!</v>
      </c>
      <c r="Q252" s="4">
        <f t="shared" si="23"/>
        <v>0</v>
      </c>
      <c r="R252" s="4"/>
    </row>
    <row r="253" spans="6:18" x14ac:dyDescent="0.3">
      <c r="F253" t="e">
        <f t="shared" si="16"/>
        <v>#DIV/0!</v>
      </c>
      <c r="H253" s="3">
        <f t="shared" si="17"/>
        <v>0</v>
      </c>
      <c r="I253" s="2"/>
      <c r="J253" t="e">
        <f t="shared" si="18"/>
        <v>#DIV/0!</v>
      </c>
      <c r="K253" s="3">
        <f t="shared" si="19"/>
        <v>0</v>
      </c>
      <c r="L253" s="2"/>
      <c r="M253" t="e">
        <f t="shared" si="20"/>
        <v>#DIV/0!</v>
      </c>
      <c r="N253" s="3">
        <f t="shared" si="21"/>
        <v>0</v>
      </c>
      <c r="O253" s="2"/>
      <c r="P253" t="e">
        <f t="shared" si="22"/>
        <v>#DIV/0!</v>
      </c>
      <c r="Q253" s="4">
        <f t="shared" si="23"/>
        <v>0</v>
      </c>
      <c r="R253" s="4"/>
    </row>
    <row r="254" spans="6:18" x14ac:dyDescent="0.3">
      <c r="F254" t="e">
        <f t="shared" si="16"/>
        <v>#DIV/0!</v>
      </c>
      <c r="H254" s="3">
        <f t="shared" si="17"/>
        <v>0</v>
      </c>
      <c r="I254" s="2"/>
      <c r="J254" t="e">
        <f t="shared" si="18"/>
        <v>#DIV/0!</v>
      </c>
      <c r="K254" s="3">
        <f t="shared" si="19"/>
        <v>0</v>
      </c>
      <c r="L254" s="2"/>
      <c r="M254" t="e">
        <f t="shared" si="20"/>
        <v>#DIV/0!</v>
      </c>
      <c r="N254" s="3">
        <f t="shared" si="21"/>
        <v>0</v>
      </c>
      <c r="O254" s="2"/>
      <c r="P254" t="e">
        <f t="shared" si="22"/>
        <v>#DIV/0!</v>
      </c>
      <c r="Q254" s="4">
        <f t="shared" si="23"/>
        <v>0</v>
      </c>
      <c r="R254" s="4"/>
    </row>
    <row r="255" spans="6:18" x14ac:dyDescent="0.3">
      <c r="F255" t="e">
        <f t="shared" si="16"/>
        <v>#DIV/0!</v>
      </c>
      <c r="H255" s="3">
        <f t="shared" si="17"/>
        <v>0</v>
      </c>
      <c r="I255" s="2"/>
      <c r="J255" t="e">
        <f t="shared" si="18"/>
        <v>#DIV/0!</v>
      </c>
      <c r="K255" s="3">
        <f t="shared" si="19"/>
        <v>0</v>
      </c>
      <c r="L255" s="2"/>
      <c r="M255" t="e">
        <f t="shared" si="20"/>
        <v>#DIV/0!</v>
      </c>
      <c r="N255" s="3">
        <f t="shared" si="21"/>
        <v>0</v>
      </c>
      <c r="O255" s="2"/>
      <c r="P255" t="e">
        <f t="shared" si="22"/>
        <v>#DIV/0!</v>
      </c>
      <c r="Q255" s="4">
        <f t="shared" si="23"/>
        <v>0</v>
      </c>
      <c r="R255" s="4"/>
    </row>
    <row r="256" spans="6:18" x14ac:dyDescent="0.3">
      <c r="F256" t="e">
        <f t="shared" si="16"/>
        <v>#DIV/0!</v>
      </c>
      <c r="H256" s="3">
        <f t="shared" si="17"/>
        <v>0</v>
      </c>
      <c r="I256" s="2"/>
      <c r="J256" t="e">
        <f t="shared" si="18"/>
        <v>#DIV/0!</v>
      </c>
      <c r="K256" s="3">
        <f t="shared" si="19"/>
        <v>0</v>
      </c>
      <c r="L256" s="2"/>
      <c r="M256" t="e">
        <f t="shared" si="20"/>
        <v>#DIV/0!</v>
      </c>
      <c r="N256" s="3">
        <f t="shared" si="21"/>
        <v>0</v>
      </c>
      <c r="O256" s="2"/>
      <c r="P256" t="e">
        <f t="shared" si="22"/>
        <v>#DIV/0!</v>
      </c>
      <c r="Q256" s="4">
        <f t="shared" si="23"/>
        <v>0</v>
      </c>
      <c r="R256" s="4"/>
    </row>
    <row r="257" spans="6:18" x14ac:dyDescent="0.3">
      <c r="F257" t="e">
        <f t="shared" si="16"/>
        <v>#DIV/0!</v>
      </c>
      <c r="H257" s="3">
        <f t="shared" si="17"/>
        <v>0</v>
      </c>
      <c r="I257" s="2"/>
      <c r="J257" t="e">
        <f t="shared" si="18"/>
        <v>#DIV/0!</v>
      </c>
      <c r="K257" s="3">
        <f t="shared" si="19"/>
        <v>0</v>
      </c>
      <c r="L257" s="2"/>
      <c r="M257" t="e">
        <f t="shared" si="20"/>
        <v>#DIV/0!</v>
      </c>
      <c r="N257" s="3">
        <f t="shared" si="21"/>
        <v>0</v>
      </c>
      <c r="O257" s="2"/>
      <c r="P257" t="e">
        <f t="shared" si="22"/>
        <v>#DIV/0!</v>
      </c>
      <c r="Q257" s="4">
        <f t="shared" si="23"/>
        <v>0</v>
      </c>
      <c r="R257" s="4"/>
    </row>
    <row r="258" spans="6:18" x14ac:dyDescent="0.3">
      <c r="F258" t="e">
        <f t="shared" si="16"/>
        <v>#DIV/0!</v>
      </c>
      <c r="H258" s="3">
        <f t="shared" si="17"/>
        <v>0</v>
      </c>
      <c r="I258" s="2"/>
      <c r="J258" t="e">
        <f t="shared" si="18"/>
        <v>#DIV/0!</v>
      </c>
      <c r="K258" s="3">
        <f t="shared" si="19"/>
        <v>0</v>
      </c>
      <c r="L258" s="2"/>
      <c r="M258" t="e">
        <f t="shared" si="20"/>
        <v>#DIV/0!</v>
      </c>
      <c r="N258" s="3">
        <f t="shared" si="21"/>
        <v>0</v>
      </c>
      <c r="O258" s="2"/>
      <c r="P258" t="e">
        <f t="shared" si="22"/>
        <v>#DIV/0!</v>
      </c>
      <c r="Q258" s="4">
        <f t="shared" si="23"/>
        <v>0</v>
      </c>
      <c r="R258" s="4"/>
    </row>
    <row r="259" spans="6:18" x14ac:dyDescent="0.3">
      <c r="F259" t="e">
        <f t="shared" si="16"/>
        <v>#DIV/0!</v>
      </c>
      <c r="H259" s="3">
        <f t="shared" si="17"/>
        <v>0</v>
      </c>
      <c r="I259" s="2"/>
      <c r="J259" t="e">
        <f t="shared" si="18"/>
        <v>#DIV/0!</v>
      </c>
      <c r="K259" s="3">
        <f t="shared" si="19"/>
        <v>0</v>
      </c>
      <c r="L259" s="2"/>
      <c r="M259" t="e">
        <f t="shared" si="20"/>
        <v>#DIV/0!</v>
      </c>
      <c r="N259" s="3">
        <f t="shared" si="21"/>
        <v>0</v>
      </c>
      <c r="O259" s="2"/>
      <c r="P259" t="e">
        <f t="shared" si="22"/>
        <v>#DIV/0!</v>
      </c>
      <c r="Q259" s="4">
        <f t="shared" si="23"/>
        <v>0</v>
      </c>
      <c r="R259" s="4"/>
    </row>
    <row r="260" spans="6:18" x14ac:dyDescent="0.3">
      <c r="F260" t="e">
        <f t="shared" si="16"/>
        <v>#DIV/0!</v>
      </c>
      <c r="H260" s="3">
        <f t="shared" si="17"/>
        <v>0</v>
      </c>
      <c r="I260" s="2"/>
      <c r="J260" t="e">
        <f t="shared" si="18"/>
        <v>#DIV/0!</v>
      </c>
      <c r="K260" s="3">
        <f t="shared" si="19"/>
        <v>0</v>
      </c>
      <c r="L260" s="2"/>
      <c r="M260" t="e">
        <f t="shared" si="20"/>
        <v>#DIV/0!</v>
      </c>
      <c r="N260" s="3">
        <f t="shared" si="21"/>
        <v>0</v>
      </c>
      <c r="O260" s="2"/>
      <c r="P260" t="e">
        <f t="shared" si="22"/>
        <v>#DIV/0!</v>
      </c>
      <c r="Q260" s="4">
        <f t="shared" si="23"/>
        <v>0</v>
      </c>
      <c r="R260" s="4"/>
    </row>
    <row r="261" spans="6:18" x14ac:dyDescent="0.3">
      <c r="F261" t="e">
        <f t="shared" si="16"/>
        <v>#DIV/0!</v>
      </c>
      <c r="H261" s="3">
        <f t="shared" si="17"/>
        <v>0</v>
      </c>
      <c r="I261" s="2"/>
      <c r="J261" t="e">
        <f t="shared" si="18"/>
        <v>#DIV/0!</v>
      </c>
      <c r="K261" s="3">
        <f t="shared" si="19"/>
        <v>0</v>
      </c>
      <c r="L261" s="2"/>
      <c r="M261" t="e">
        <f t="shared" si="20"/>
        <v>#DIV/0!</v>
      </c>
      <c r="N261" s="3">
        <f t="shared" si="21"/>
        <v>0</v>
      </c>
      <c r="O261" s="2"/>
      <c r="P261" t="e">
        <f t="shared" si="22"/>
        <v>#DIV/0!</v>
      </c>
      <c r="Q261" s="4">
        <f t="shared" si="23"/>
        <v>0</v>
      </c>
      <c r="R261" s="4"/>
    </row>
    <row r="262" spans="6:18" x14ac:dyDescent="0.3">
      <c r="F262" t="e">
        <f t="shared" si="16"/>
        <v>#DIV/0!</v>
      </c>
      <c r="H262" s="3">
        <f t="shared" si="17"/>
        <v>0</v>
      </c>
      <c r="I262" s="2"/>
      <c r="J262" t="e">
        <f t="shared" si="18"/>
        <v>#DIV/0!</v>
      </c>
      <c r="K262" s="3">
        <f t="shared" si="19"/>
        <v>0</v>
      </c>
      <c r="L262" s="2"/>
      <c r="M262" t="e">
        <f t="shared" si="20"/>
        <v>#DIV/0!</v>
      </c>
      <c r="N262" s="3">
        <f t="shared" si="21"/>
        <v>0</v>
      </c>
      <c r="O262" s="2"/>
      <c r="P262" t="e">
        <f t="shared" si="22"/>
        <v>#DIV/0!</v>
      </c>
      <c r="Q262" s="4">
        <f t="shared" si="23"/>
        <v>0</v>
      </c>
      <c r="R262" s="4"/>
    </row>
    <row r="263" spans="6:18" x14ac:dyDescent="0.3">
      <c r="F263" t="e">
        <f t="shared" si="16"/>
        <v>#DIV/0!</v>
      </c>
      <c r="H263" s="3">
        <f t="shared" si="17"/>
        <v>0</v>
      </c>
      <c r="I263" s="2"/>
      <c r="J263" t="e">
        <f t="shared" si="18"/>
        <v>#DIV/0!</v>
      </c>
      <c r="K263" s="3">
        <f t="shared" si="19"/>
        <v>0</v>
      </c>
      <c r="L263" s="2"/>
      <c r="M263" t="e">
        <f t="shared" si="20"/>
        <v>#DIV/0!</v>
      </c>
      <c r="N263" s="3">
        <f t="shared" si="21"/>
        <v>0</v>
      </c>
      <c r="O263" s="2"/>
      <c r="P263" t="e">
        <f t="shared" si="22"/>
        <v>#DIV/0!</v>
      </c>
      <c r="Q263" s="4">
        <f t="shared" si="23"/>
        <v>0</v>
      </c>
      <c r="R263" s="4"/>
    </row>
    <row r="264" spans="6:18" x14ac:dyDescent="0.3">
      <c r="F264" t="e">
        <f t="shared" si="16"/>
        <v>#DIV/0!</v>
      </c>
      <c r="H264" s="3">
        <f t="shared" si="17"/>
        <v>0</v>
      </c>
      <c r="I264" s="2"/>
      <c r="J264" t="e">
        <f t="shared" si="18"/>
        <v>#DIV/0!</v>
      </c>
      <c r="K264" s="3">
        <f t="shared" si="19"/>
        <v>0</v>
      </c>
      <c r="L264" s="2"/>
      <c r="M264" t="e">
        <f t="shared" si="20"/>
        <v>#DIV/0!</v>
      </c>
      <c r="N264" s="3">
        <f t="shared" si="21"/>
        <v>0</v>
      </c>
      <c r="O264" s="2"/>
      <c r="P264" t="e">
        <f t="shared" si="22"/>
        <v>#DIV/0!</v>
      </c>
      <c r="Q264" s="4">
        <f t="shared" si="23"/>
        <v>0</v>
      </c>
      <c r="R264" s="4"/>
    </row>
    <row r="265" spans="6:18" x14ac:dyDescent="0.3">
      <c r="F265" t="e">
        <f t="shared" si="16"/>
        <v>#DIV/0!</v>
      </c>
      <c r="H265" s="3">
        <f t="shared" si="17"/>
        <v>0</v>
      </c>
      <c r="I265" s="2"/>
      <c r="J265" t="e">
        <f t="shared" si="18"/>
        <v>#DIV/0!</v>
      </c>
      <c r="K265" s="3">
        <f t="shared" si="19"/>
        <v>0</v>
      </c>
      <c r="L265" s="2"/>
      <c r="M265" t="e">
        <f t="shared" si="20"/>
        <v>#DIV/0!</v>
      </c>
      <c r="N265" s="3">
        <f t="shared" si="21"/>
        <v>0</v>
      </c>
      <c r="O265" s="2"/>
      <c r="P265" t="e">
        <f t="shared" si="22"/>
        <v>#DIV/0!</v>
      </c>
      <c r="Q265" s="4">
        <f t="shared" si="23"/>
        <v>0</v>
      </c>
      <c r="R265" s="4"/>
    </row>
    <row r="266" spans="6:18" x14ac:dyDescent="0.3">
      <c r="F266" t="e">
        <f t="shared" si="16"/>
        <v>#DIV/0!</v>
      </c>
      <c r="H266" s="3">
        <f t="shared" si="17"/>
        <v>0</v>
      </c>
      <c r="I266" s="2"/>
      <c r="J266" t="e">
        <f t="shared" si="18"/>
        <v>#DIV/0!</v>
      </c>
      <c r="K266" s="3">
        <f t="shared" si="19"/>
        <v>0</v>
      </c>
      <c r="L266" s="2"/>
      <c r="M266" t="e">
        <f t="shared" si="20"/>
        <v>#DIV/0!</v>
      </c>
      <c r="N266" s="3">
        <f t="shared" si="21"/>
        <v>0</v>
      </c>
      <c r="O266" s="2"/>
      <c r="P266" t="e">
        <f t="shared" si="22"/>
        <v>#DIV/0!</v>
      </c>
      <c r="Q266" s="4">
        <f t="shared" si="23"/>
        <v>0</v>
      </c>
      <c r="R266" s="4"/>
    </row>
    <row r="267" spans="6:18" x14ac:dyDescent="0.3">
      <c r="F267" t="e">
        <f t="shared" si="16"/>
        <v>#DIV/0!</v>
      </c>
      <c r="H267" s="3">
        <f t="shared" si="17"/>
        <v>0</v>
      </c>
      <c r="I267" s="2"/>
      <c r="J267" t="e">
        <f t="shared" si="18"/>
        <v>#DIV/0!</v>
      </c>
      <c r="K267" s="3">
        <f t="shared" si="19"/>
        <v>0</v>
      </c>
      <c r="L267" s="2"/>
      <c r="M267" t="e">
        <f t="shared" si="20"/>
        <v>#DIV/0!</v>
      </c>
      <c r="N267" s="3">
        <f t="shared" si="21"/>
        <v>0</v>
      </c>
      <c r="O267" s="2"/>
      <c r="P267" t="e">
        <f t="shared" si="22"/>
        <v>#DIV/0!</v>
      </c>
      <c r="Q267" s="4">
        <f t="shared" si="23"/>
        <v>0</v>
      </c>
      <c r="R267" s="4"/>
    </row>
    <row r="268" spans="6:18" x14ac:dyDescent="0.3">
      <c r="F268" t="e">
        <f t="shared" si="16"/>
        <v>#DIV/0!</v>
      </c>
      <c r="H268" s="3">
        <f t="shared" si="17"/>
        <v>0</v>
      </c>
      <c r="I268" s="2"/>
      <c r="J268" t="e">
        <f t="shared" si="18"/>
        <v>#DIV/0!</v>
      </c>
      <c r="K268" s="3">
        <f t="shared" si="19"/>
        <v>0</v>
      </c>
      <c r="L268" s="2"/>
      <c r="M268" t="e">
        <f t="shared" si="20"/>
        <v>#DIV/0!</v>
      </c>
      <c r="N268" s="3">
        <f t="shared" si="21"/>
        <v>0</v>
      </c>
      <c r="O268" s="2"/>
      <c r="P268" t="e">
        <f t="shared" si="22"/>
        <v>#DIV/0!</v>
      </c>
      <c r="Q268" s="4">
        <f t="shared" si="23"/>
        <v>0</v>
      </c>
      <c r="R268" s="4"/>
    </row>
    <row r="269" spans="6:18" x14ac:dyDescent="0.3">
      <c r="F269" t="e">
        <f t="shared" si="16"/>
        <v>#DIV/0!</v>
      </c>
      <c r="H269" s="3">
        <f t="shared" si="17"/>
        <v>0</v>
      </c>
      <c r="I269" s="2"/>
      <c r="J269" t="e">
        <f t="shared" si="18"/>
        <v>#DIV/0!</v>
      </c>
      <c r="K269" s="3">
        <f t="shared" si="19"/>
        <v>0</v>
      </c>
      <c r="L269" s="2"/>
      <c r="M269" t="e">
        <f t="shared" si="20"/>
        <v>#DIV/0!</v>
      </c>
      <c r="N269" s="3">
        <f t="shared" si="21"/>
        <v>0</v>
      </c>
      <c r="O269" s="2"/>
      <c r="P269" t="e">
        <f t="shared" si="22"/>
        <v>#DIV/0!</v>
      </c>
      <c r="Q269" s="4">
        <f t="shared" si="23"/>
        <v>0</v>
      </c>
      <c r="R269" s="4"/>
    </row>
    <row r="270" spans="6:18" x14ac:dyDescent="0.3">
      <c r="F270" t="e">
        <f t="shared" si="16"/>
        <v>#DIV/0!</v>
      </c>
      <c r="H270" s="3">
        <f t="shared" si="17"/>
        <v>0</v>
      </c>
      <c r="I270" s="2"/>
      <c r="J270" t="e">
        <f t="shared" si="18"/>
        <v>#DIV/0!</v>
      </c>
      <c r="K270" s="3">
        <f t="shared" si="19"/>
        <v>0</v>
      </c>
      <c r="L270" s="2"/>
      <c r="M270" t="e">
        <f t="shared" si="20"/>
        <v>#DIV/0!</v>
      </c>
      <c r="N270" s="3">
        <f t="shared" si="21"/>
        <v>0</v>
      </c>
      <c r="O270" s="2"/>
      <c r="P270" t="e">
        <f t="shared" si="22"/>
        <v>#DIV/0!</v>
      </c>
      <c r="Q270" s="4">
        <f t="shared" si="23"/>
        <v>0</v>
      </c>
      <c r="R270" s="4"/>
    </row>
    <row r="271" spans="6:18" x14ac:dyDescent="0.3">
      <c r="F271" t="e">
        <f t="shared" si="16"/>
        <v>#DIV/0!</v>
      </c>
      <c r="H271" s="3">
        <f t="shared" si="17"/>
        <v>0</v>
      </c>
      <c r="I271" s="2"/>
      <c r="J271" t="e">
        <f t="shared" si="18"/>
        <v>#DIV/0!</v>
      </c>
      <c r="K271" s="3">
        <f t="shared" si="19"/>
        <v>0</v>
      </c>
      <c r="L271" s="2"/>
      <c r="M271" t="e">
        <f t="shared" si="20"/>
        <v>#DIV/0!</v>
      </c>
      <c r="N271" s="3">
        <f t="shared" si="21"/>
        <v>0</v>
      </c>
      <c r="O271" s="2"/>
      <c r="P271" t="e">
        <f t="shared" si="22"/>
        <v>#DIV/0!</v>
      </c>
      <c r="Q271" s="4">
        <f t="shared" si="23"/>
        <v>0</v>
      </c>
      <c r="R271" s="4"/>
    </row>
    <row r="272" spans="6:18" x14ac:dyDescent="0.3">
      <c r="F272" t="e">
        <f t="shared" si="16"/>
        <v>#DIV/0!</v>
      </c>
      <c r="H272" s="3">
        <f t="shared" si="17"/>
        <v>0</v>
      </c>
      <c r="I272" s="2"/>
      <c r="J272" t="e">
        <f t="shared" si="18"/>
        <v>#DIV/0!</v>
      </c>
      <c r="K272" s="3">
        <f t="shared" si="19"/>
        <v>0</v>
      </c>
      <c r="L272" s="2"/>
      <c r="M272" t="e">
        <f t="shared" si="20"/>
        <v>#DIV/0!</v>
      </c>
      <c r="N272" s="3">
        <f t="shared" si="21"/>
        <v>0</v>
      </c>
      <c r="O272" s="2"/>
      <c r="P272" t="e">
        <f t="shared" si="22"/>
        <v>#DIV/0!</v>
      </c>
      <c r="Q272" s="4">
        <f t="shared" si="23"/>
        <v>0</v>
      </c>
      <c r="R272" s="4"/>
    </row>
    <row r="273" spans="6:18" x14ac:dyDescent="0.3">
      <c r="F273" t="e">
        <f t="shared" si="16"/>
        <v>#DIV/0!</v>
      </c>
      <c r="H273" s="3">
        <f t="shared" si="17"/>
        <v>0</v>
      </c>
      <c r="I273" s="2"/>
      <c r="J273" t="e">
        <f t="shared" si="18"/>
        <v>#DIV/0!</v>
      </c>
      <c r="K273" s="3">
        <f t="shared" si="19"/>
        <v>0</v>
      </c>
      <c r="L273" s="2"/>
      <c r="M273" t="e">
        <f t="shared" si="20"/>
        <v>#DIV/0!</v>
      </c>
      <c r="N273" s="3">
        <f t="shared" si="21"/>
        <v>0</v>
      </c>
      <c r="O273" s="2"/>
      <c r="P273" t="e">
        <f t="shared" si="22"/>
        <v>#DIV/0!</v>
      </c>
      <c r="Q273" s="4">
        <f t="shared" si="23"/>
        <v>0</v>
      </c>
      <c r="R273" s="4"/>
    </row>
    <row r="274" spans="6:18" x14ac:dyDescent="0.3">
      <c r="F274" t="e">
        <f t="shared" si="16"/>
        <v>#DIV/0!</v>
      </c>
      <c r="H274" s="3">
        <f t="shared" si="17"/>
        <v>0</v>
      </c>
      <c r="I274" s="2"/>
      <c r="J274" t="e">
        <f t="shared" si="18"/>
        <v>#DIV/0!</v>
      </c>
      <c r="K274" s="3">
        <f t="shared" si="19"/>
        <v>0</v>
      </c>
      <c r="L274" s="2"/>
      <c r="M274" t="e">
        <f t="shared" si="20"/>
        <v>#DIV/0!</v>
      </c>
      <c r="N274" s="3">
        <f t="shared" si="21"/>
        <v>0</v>
      </c>
      <c r="O274" s="2"/>
      <c r="P274" t="e">
        <f t="shared" si="22"/>
        <v>#DIV/0!</v>
      </c>
      <c r="Q274" s="4">
        <f t="shared" si="23"/>
        <v>0</v>
      </c>
      <c r="R274" s="4"/>
    </row>
    <row r="275" spans="6:18" x14ac:dyDescent="0.3">
      <c r="F275" t="e">
        <f t="shared" si="16"/>
        <v>#DIV/0!</v>
      </c>
      <c r="H275" s="3">
        <f t="shared" si="17"/>
        <v>0</v>
      </c>
      <c r="I275" s="2"/>
      <c r="J275" t="e">
        <f t="shared" si="18"/>
        <v>#DIV/0!</v>
      </c>
      <c r="K275" s="3">
        <f t="shared" si="19"/>
        <v>0</v>
      </c>
      <c r="L275" s="2"/>
      <c r="M275" t="e">
        <f t="shared" si="20"/>
        <v>#DIV/0!</v>
      </c>
      <c r="N275" s="3">
        <f t="shared" si="21"/>
        <v>0</v>
      </c>
      <c r="O275" s="2"/>
      <c r="P275" t="e">
        <f t="shared" si="22"/>
        <v>#DIV/0!</v>
      </c>
      <c r="Q275" s="4">
        <f t="shared" si="23"/>
        <v>0</v>
      </c>
      <c r="R275" s="4"/>
    </row>
    <row r="276" spans="6:18" x14ac:dyDescent="0.3">
      <c r="F276" t="e">
        <f t="shared" si="16"/>
        <v>#DIV/0!</v>
      </c>
      <c r="H276" s="3">
        <f t="shared" si="17"/>
        <v>0</v>
      </c>
      <c r="I276" s="2"/>
      <c r="J276" t="e">
        <f t="shared" si="18"/>
        <v>#DIV/0!</v>
      </c>
      <c r="K276" s="3">
        <f t="shared" si="19"/>
        <v>0</v>
      </c>
      <c r="L276" s="2"/>
      <c r="M276" t="e">
        <f t="shared" si="20"/>
        <v>#DIV/0!</v>
      </c>
      <c r="N276" s="3">
        <f t="shared" si="21"/>
        <v>0</v>
      </c>
      <c r="O276" s="2"/>
      <c r="P276" t="e">
        <f t="shared" si="22"/>
        <v>#DIV/0!</v>
      </c>
      <c r="Q276" s="4">
        <f t="shared" si="23"/>
        <v>0</v>
      </c>
      <c r="R276" s="4"/>
    </row>
    <row r="277" spans="6:18" x14ac:dyDescent="0.3">
      <c r="F277" t="e">
        <f t="shared" si="16"/>
        <v>#DIV/0!</v>
      </c>
      <c r="H277" s="3">
        <f t="shared" si="17"/>
        <v>0</v>
      </c>
      <c r="I277" s="2"/>
      <c r="J277" t="e">
        <f t="shared" si="18"/>
        <v>#DIV/0!</v>
      </c>
      <c r="K277" s="3">
        <f t="shared" si="19"/>
        <v>0</v>
      </c>
      <c r="L277" s="2"/>
      <c r="M277" t="e">
        <f t="shared" si="20"/>
        <v>#DIV/0!</v>
      </c>
      <c r="N277" s="3">
        <f t="shared" si="21"/>
        <v>0</v>
      </c>
      <c r="O277" s="2"/>
      <c r="P277" t="e">
        <f t="shared" si="22"/>
        <v>#DIV/0!</v>
      </c>
      <c r="Q277" s="4">
        <f t="shared" si="23"/>
        <v>0</v>
      </c>
      <c r="R277" s="4"/>
    </row>
    <row r="278" spans="6:18" x14ac:dyDescent="0.3">
      <c r="F278" t="e">
        <f t="shared" si="16"/>
        <v>#DIV/0!</v>
      </c>
      <c r="H278" s="3">
        <f t="shared" si="17"/>
        <v>0</v>
      </c>
      <c r="I278" s="2"/>
      <c r="J278" t="e">
        <f t="shared" si="18"/>
        <v>#DIV/0!</v>
      </c>
      <c r="K278" s="3">
        <f t="shared" si="19"/>
        <v>0</v>
      </c>
      <c r="L278" s="2"/>
      <c r="M278" t="e">
        <f t="shared" si="20"/>
        <v>#DIV/0!</v>
      </c>
      <c r="N278" s="3">
        <f t="shared" si="21"/>
        <v>0</v>
      </c>
      <c r="O278" s="2"/>
      <c r="P278" t="e">
        <f t="shared" si="22"/>
        <v>#DIV/0!</v>
      </c>
      <c r="Q278" s="4">
        <f t="shared" si="23"/>
        <v>0</v>
      </c>
      <c r="R278" s="4"/>
    </row>
    <row r="279" spans="6:18" x14ac:dyDescent="0.3">
      <c r="F279" t="e">
        <f t="shared" si="16"/>
        <v>#DIV/0!</v>
      </c>
      <c r="H279" s="3">
        <f t="shared" si="17"/>
        <v>0</v>
      </c>
      <c r="I279" s="2"/>
      <c r="J279" t="e">
        <f t="shared" si="18"/>
        <v>#DIV/0!</v>
      </c>
      <c r="K279" s="3">
        <f t="shared" si="19"/>
        <v>0</v>
      </c>
      <c r="L279" s="2"/>
      <c r="M279" t="e">
        <f t="shared" si="20"/>
        <v>#DIV/0!</v>
      </c>
      <c r="N279" s="3">
        <f t="shared" si="21"/>
        <v>0</v>
      </c>
      <c r="O279" s="2"/>
      <c r="P279" t="e">
        <f t="shared" si="22"/>
        <v>#DIV/0!</v>
      </c>
      <c r="Q279" s="4">
        <f t="shared" si="23"/>
        <v>0</v>
      </c>
    </row>
    <row r="280" spans="6:18" x14ac:dyDescent="0.3">
      <c r="F280" t="e">
        <f t="shared" si="16"/>
        <v>#DIV/0!</v>
      </c>
      <c r="H280" s="3">
        <f t="shared" si="17"/>
        <v>0</v>
      </c>
      <c r="I280" s="2"/>
      <c r="J280" t="e">
        <f t="shared" si="18"/>
        <v>#DIV/0!</v>
      </c>
      <c r="K280" s="3">
        <f t="shared" si="19"/>
        <v>0</v>
      </c>
      <c r="L280" s="2"/>
      <c r="M280" t="e">
        <f t="shared" si="20"/>
        <v>#DIV/0!</v>
      </c>
      <c r="N280" s="3">
        <f t="shared" si="21"/>
        <v>0</v>
      </c>
      <c r="O280" s="2"/>
      <c r="P280" t="e">
        <f t="shared" si="22"/>
        <v>#DIV/0!</v>
      </c>
      <c r="Q280" s="4">
        <f t="shared" si="23"/>
        <v>0</v>
      </c>
    </row>
    <row r="281" spans="6:18" x14ac:dyDescent="0.3">
      <c r="F281" t="e">
        <f t="shared" si="16"/>
        <v>#DIV/0!</v>
      </c>
      <c r="H281" s="3">
        <f t="shared" si="17"/>
        <v>0</v>
      </c>
      <c r="I281" s="2"/>
      <c r="J281" t="e">
        <f t="shared" si="18"/>
        <v>#DIV/0!</v>
      </c>
      <c r="K281" s="3">
        <f t="shared" si="19"/>
        <v>0</v>
      </c>
      <c r="L281" s="2"/>
      <c r="M281" t="e">
        <f t="shared" si="20"/>
        <v>#DIV/0!</v>
      </c>
      <c r="N281" s="3">
        <f t="shared" si="21"/>
        <v>0</v>
      </c>
      <c r="O281" s="2"/>
      <c r="P281" t="e">
        <f t="shared" si="22"/>
        <v>#DIV/0!</v>
      </c>
      <c r="Q281" s="4">
        <f t="shared" si="23"/>
        <v>0</v>
      </c>
    </row>
    <row r="282" spans="6:18" x14ac:dyDescent="0.3">
      <c r="F282" t="e">
        <f t="shared" si="16"/>
        <v>#DIV/0!</v>
      </c>
      <c r="H282" s="3">
        <f t="shared" si="17"/>
        <v>0</v>
      </c>
      <c r="I282" s="2"/>
      <c r="J282" t="e">
        <f t="shared" si="18"/>
        <v>#DIV/0!</v>
      </c>
      <c r="K282" s="3">
        <f t="shared" si="19"/>
        <v>0</v>
      </c>
      <c r="L282" s="2"/>
      <c r="M282" t="e">
        <f t="shared" si="20"/>
        <v>#DIV/0!</v>
      </c>
      <c r="N282" s="3">
        <f t="shared" si="21"/>
        <v>0</v>
      </c>
      <c r="O282" s="2"/>
      <c r="P282" t="e">
        <f t="shared" si="22"/>
        <v>#DIV/0!</v>
      </c>
      <c r="Q282" s="4">
        <f t="shared" si="23"/>
        <v>0</v>
      </c>
    </row>
    <row r="283" spans="6:18" x14ac:dyDescent="0.3">
      <c r="F283" t="e">
        <f t="shared" si="16"/>
        <v>#DIV/0!</v>
      </c>
      <c r="H283" s="3">
        <f t="shared" si="17"/>
        <v>0</v>
      </c>
      <c r="I283" s="2"/>
      <c r="J283" t="e">
        <f t="shared" si="18"/>
        <v>#DIV/0!</v>
      </c>
      <c r="K283" s="3">
        <f t="shared" si="19"/>
        <v>0</v>
      </c>
      <c r="L283" s="2"/>
      <c r="M283" t="e">
        <f t="shared" si="20"/>
        <v>#DIV/0!</v>
      </c>
      <c r="N283" s="3">
        <f t="shared" si="21"/>
        <v>0</v>
      </c>
      <c r="O283" s="2"/>
      <c r="P283" t="e">
        <f t="shared" si="22"/>
        <v>#DIV/0!</v>
      </c>
      <c r="Q283" s="4">
        <f t="shared" si="23"/>
        <v>0</v>
      </c>
    </row>
    <row r="284" spans="6:18" x14ac:dyDescent="0.3">
      <c r="F284" t="e">
        <f t="shared" si="16"/>
        <v>#DIV/0!</v>
      </c>
      <c r="H284" s="3">
        <f t="shared" si="17"/>
        <v>0</v>
      </c>
      <c r="I284" s="2"/>
      <c r="J284" t="e">
        <f t="shared" si="18"/>
        <v>#DIV/0!</v>
      </c>
      <c r="K284" s="3">
        <f t="shared" si="19"/>
        <v>0</v>
      </c>
      <c r="L284" s="2"/>
      <c r="M284" t="e">
        <f t="shared" si="20"/>
        <v>#DIV/0!</v>
      </c>
      <c r="N284" s="3">
        <f t="shared" si="21"/>
        <v>0</v>
      </c>
      <c r="O284" s="2"/>
      <c r="P284" t="e">
        <f t="shared" si="22"/>
        <v>#DIV/0!</v>
      </c>
      <c r="Q284" s="4">
        <f t="shared" si="23"/>
        <v>0</v>
      </c>
    </row>
    <row r="285" spans="6:18" x14ac:dyDescent="0.3">
      <c r="F285" t="e">
        <f t="shared" si="16"/>
        <v>#DIV/0!</v>
      </c>
      <c r="H285" s="3">
        <f t="shared" si="17"/>
        <v>0</v>
      </c>
      <c r="I285" s="2"/>
      <c r="J285" t="e">
        <f t="shared" si="18"/>
        <v>#DIV/0!</v>
      </c>
      <c r="K285" s="3">
        <f t="shared" si="19"/>
        <v>0</v>
      </c>
      <c r="L285" s="2"/>
      <c r="M285" t="e">
        <f t="shared" si="20"/>
        <v>#DIV/0!</v>
      </c>
      <c r="N285" s="3">
        <f t="shared" si="21"/>
        <v>0</v>
      </c>
      <c r="O285" s="2"/>
      <c r="P285" t="e">
        <f t="shared" si="22"/>
        <v>#DIV/0!</v>
      </c>
      <c r="Q285" s="4">
        <f t="shared" si="23"/>
        <v>0</v>
      </c>
    </row>
    <row r="286" spans="6:18" x14ac:dyDescent="0.3">
      <c r="F286" t="e">
        <f t="shared" si="16"/>
        <v>#DIV/0!</v>
      </c>
      <c r="H286" s="3">
        <f t="shared" si="17"/>
        <v>0</v>
      </c>
      <c r="I286" s="2"/>
      <c r="J286" t="e">
        <f t="shared" si="18"/>
        <v>#DIV/0!</v>
      </c>
      <c r="K286" s="3">
        <f t="shared" si="19"/>
        <v>0</v>
      </c>
      <c r="L286" s="2"/>
      <c r="M286" t="e">
        <f t="shared" si="20"/>
        <v>#DIV/0!</v>
      </c>
      <c r="N286" s="3">
        <f t="shared" si="21"/>
        <v>0</v>
      </c>
      <c r="O286" s="2"/>
      <c r="P286" t="e">
        <f t="shared" si="22"/>
        <v>#DIV/0!</v>
      </c>
      <c r="Q286" s="4">
        <f t="shared" si="23"/>
        <v>0</v>
      </c>
    </row>
    <row r="287" spans="6:18" x14ac:dyDescent="0.3">
      <c r="F287" t="e">
        <f t="shared" ref="F287:F311" si="24">(A195/$F$5)+(B195/$F$6)</f>
        <v>#DIV/0!</v>
      </c>
      <c r="H287" s="3">
        <f t="shared" ref="H287:H311" si="25">E195-F195</f>
        <v>0</v>
      </c>
      <c r="I287" s="2"/>
      <c r="J287" t="e">
        <f t="shared" ref="J287:J311" si="26">(A195/$J$5)+(B195/$J$6)</f>
        <v>#DIV/0!</v>
      </c>
      <c r="K287" s="3">
        <f t="shared" ref="K287:K311" si="27">E195-J195</f>
        <v>0</v>
      </c>
      <c r="L287" s="2"/>
      <c r="M287" t="e">
        <f t="shared" ref="M287:M311" si="28">(A195/$M$5)+(B195/$M$6)</f>
        <v>#DIV/0!</v>
      </c>
      <c r="N287" s="3">
        <f t="shared" ref="N287:N311" si="29">E195-M195</f>
        <v>0</v>
      </c>
      <c r="O287" s="2"/>
      <c r="P287" t="e">
        <f t="shared" ref="P287:P311" si="30">(A195/$P$5)+(B195/$P$6)</f>
        <v>#DIV/0!</v>
      </c>
      <c r="Q287" s="4">
        <f t="shared" ref="Q287:Q311" si="31">E195-P195</f>
        <v>0</v>
      </c>
    </row>
    <row r="288" spans="6:18" x14ac:dyDescent="0.3">
      <c r="F288" t="e">
        <f t="shared" si="24"/>
        <v>#DIV/0!</v>
      </c>
      <c r="H288" s="3">
        <f t="shared" si="25"/>
        <v>0</v>
      </c>
      <c r="I288" s="2"/>
      <c r="J288" t="e">
        <f t="shared" si="26"/>
        <v>#DIV/0!</v>
      </c>
      <c r="K288" s="3">
        <f t="shared" si="27"/>
        <v>0</v>
      </c>
      <c r="L288" s="2"/>
      <c r="M288" t="e">
        <f t="shared" si="28"/>
        <v>#DIV/0!</v>
      </c>
      <c r="N288" s="3">
        <f t="shared" si="29"/>
        <v>0</v>
      </c>
      <c r="O288" s="2"/>
      <c r="P288" t="e">
        <f t="shared" si="30"/>
        <v>#DIV/0!</v>
      </c>
      <c r="Q288" s="4">
        <f t="shared" si="31"/>
        <v>0</v>
      </c>
    </row>
    <row r="289" spans="6:17" x14ac:dyDescent="0.3">
      <c r="F289" t="e">
        <f t="shared" si="24"/>
        <v>#DIV/0!</v>
      </c>
      <c r="H289" s="3">
        <f t="shared" si="25"/>
        <v>0</v>
      </c>
      <c r="I289" s="2"/>
      <c r="J289" t="e">
        <f t="shared" si="26"/>
        <v>#DIV/0!</v>
      </c>
      <c r="K289" s="3">
        <f t="shared" si="27"/>
        <v>0</v>
      </c>
      <c r="L289" s="2"/>
      <c r="M289" t="e">
        <f t="shared" si="28"/>
        <v>#DIV/0!</v>
      </c>
      <c r="N289" s="3">
        <f t="shared" si="29"/>
        <v>0</v>
      </c>
      <c r="O289" s="2"/>
      <c r="P289" t="e">
        <f t="shared" si="30"/>
        <v>#DIV/0!</v>
      </c>
      <c r="Q289" s="4">
        <f t="shared" si="31"/>
        <v>0</v>
      </c>
    </row>
    <row r="290" spans="6:17" x14ac:dyDescent="0.3">
      <c r="F290" t="e">
        <f t="shared" si="24"/>
        <v>#DIV/0!</v>
      </c>
      <c r="H290" s="3">
        <f t="shared" si="25"/>
        <v>0</v>
      </c>
      <c r="I290" s="2"/>
      <c r="J290" t="e">
        <f t="shared" si="26"/>
        <v>#DIV/0!</v>
      </c>
      <c r="K290" s="3">
        <f t="shared" si="27"/>
        <v>0</v>
      </c>
      <c r="L290" s="2"/>
      <c r="M290" t="e">
        <f t="shared" si="28"/>
        <v>#DIV/0!</v>
      </c>
      <c r="N290" s="3">
        <f t="shared" si="29"/>
        <v>0</v>
      </c>
      <c r="O290" s="2"/>
      <c r="P290" t="e">
        <f t="shared" si="30"/>
        <v>#DIV/0!</v>
      </c>
      <c r="Q290" s="4">
        <f t="shared" si="31"/>
        <v>0</v>
      </c>
    </row>
    <row r="291" spans="6:17" x14ac:dyDescent="0.3">
      <c r="F291" t="e">
        <f t="shared" si="24"/>
        <v>#DIV/0!</v>
      </c>
      <c r="H291" s="3">
        <f t="shared" si="25"/>
        <v>0</v>
      </c>
      <c r="I291" s="2"/>
      <c r="J291" t="e">
        <f t="shared" si="26"/>
        <v>#DIV/0!</v>
      </c>
      <c r="K291" s="3">
        <f t="shared" si="27"/>
        <v>0</v>
      </c>
      <c r="L291" s="2"/>
      <c r="M291" t="e">
        <f t="shared" si="28"/>
        <v>#DIV/0!</v>
      </c>
      <c r="N291" s="3">
        <f t="shared" si="29"/>
        <v>0</v>
      </c>
      <c r="O291" s="2"/>
      <c r="P291" t="e">
        <f t="shared" si="30"/>
        <v>#DIV/0!</v>
      </c>
      <c r="Q291" s="4">
        <f t="shared" si="31"/>
        <v>0</v>
      </c>
    </row>
    <row r="292" spans="6:17" x14ac:dyDescent="0.3">
      <c r="F292" t="e">
        <f t="shared" si="24"/>
        <v>#DIV/0!</v>
      </c>
      <c r="H292" s="3">
        <f t="shared" si="25"/>
        <v>0</v>
      </c>
      <c r="I292" s="2"/>
      <c r="J292" t="e">
        <f t="shared" si="26"/>
        <v>#DIV/0!</v>
      </c>
      <c r="K292" s="3">
        <f t="shared" si="27"/>
        <v>0</v>
      </c>
      <c r="L292" s="2"/>
      <c r="M292" t="e">
        <f t="shared" si="28"/>
        <v>#DIV/0!</v>
      </c>
      <c r="N292" s="3">
        <f t="shared" si="29"/>
        <v>0</v>
      </c>
      <c r="O292" s="2"/>
      <c r="P292" t="e">
        <f t="shared" si="30"/>
        <v>#DIV/0!</v>
      </c>
      <c r="Q292" s="4">
        <f t="shared" si="31"/>
        <v>0</v>
      </c>
    </row>
    <row r="293" spans="6:17" x14ac:dyDescent="0.3">
      <c r="F293" t="e">
        <f t="shared" si="24"/>
        <v>#DIV/0!</v>
      </c>
      <c r="H293" s="3">
        <f t="shared" si="25"/>
        <v>0</v>
      </c>
      <c r="I293" s="2"/>
      <c r="J293" t="e">
        <f t="shared" si="26"/>
        <v>#DIV/0!</v>
      </c>
      <c r="K293" s="3">
        <f t="shared" si="27"/>
        <v>0</v>
      </c>
      <c r="L293" s="2"/>
      <c r="M293" t="e">
        <f t="shared" si="28"/>
        <v>#DIV/0!</v>
      </c>
      <c r="N293" s="3">
        <f t="shared" si="29"/>
        <v>0</v>
      </c>
      <c r="O293" s="2"/>
      <c r="P293" t="e">
        <f t="shared" si="30"/>
        <v>#DIV/0!</v>
      </c>
      <c r="Q293" s="4">
        <f t="shared" si="31"/>
        <v>0</v>
      </c>
    </row>
    <row r="294" spans="6:17" x14ac:dyDescent="0.3">
      <c r="F294" t="e">
        <f t="shared" si="24"/>
        <v>#DIV/0!</v>
      </c>
      <c r="H294" s="3">
        <f t="shared" si="25"/>
        <v>0</v>
      </c>
      <c r="I294" s="2"/>
      <c r="J294" t="e">
        <f t="shared" si="26"/>
        <v>#DIV/0!</v>
      </c>
      <c r="K294" s="3">
        <f t="shared" si="27"/>
        <v>0</v>
      </c>
      <c r="L294" s="2"/>
      <c r="M294" t="e">
        <f t="shared" si="28"/>
        <v>#DIV/0!</v>
      </c>
      <c r="N294" s="3">
        <f t="shared" si="29"/>
        <v>0</v>
      </c>
      <c r="O294" s="2"/>
      <c r="P294" t="e">
        <f t="shared" si="30"/>
        <v>#DIV/0!</v>
      </c>
      <c r="Q294" s="4">
        <f t="shared" si="31"/>
        <v>0</v>
      </c>
    </row>
    <row r="295" spans="6:17" x14ac:dyDescent="0.3">
      <c r="F295" t="e">
        <f t="shared" si="24"/>
        <v>#DIV/0!</v>
      </c>
      <c r="H295" s="3">
        <f t="shared" si="25"/>
        <v>0</v>
      </c>
      <c r="I295" s="2"/>
      <c r="J295" t="e">
        <f t="shared" si="26"/>
        <v>#DIV/0!</v>
      </c>
      <c r="K295" s="3">
        <f t="shared" si="27"/>
        <v>0</v>
      </c>
      <c r="L295" s="2"/>
      <c r="M295" t="e">
        <f t="shared" si="28"/>
        <v>#DIV/0!</v>
      </c>
      <c r="N295" s="3">
        <f t="shared" si="29"/>
        <v>0</v>
      </c>
      <c r="O295" s="2"/>
      <c r="P295" t="e">
        <f t="shared" si="30"/>
        <v>#DIV/0!</v>
      </c>
      <c r="Q295" s="4">
        <f t="shared" si="31"/>
        <v>0</v>
      </c>
    </row>
    <row r="296" spans="6:17" x14ac:dyDescent="0.3">
      <c r="F296" t="e">
        <f t="shared" si="24"/>
        <v>#DIV/0!</v>
      </c>
      <c r="H296" s="3">
        <f t="shared" si="25"/>
        <v>0</v>
      </c>
      <c r="I296" s="2"/>
      <c r="J296" t="e">
        <f t="shared" si="26"/>
        <v>#DIV/0!</v>
      </c>
      <c r="K296" s="3">
        <f t="shared" si="27"/>
        <v>0</v>
      </c>
      <c r="L296" s="2"/>
      <c r="M296" t="e">
        <f t="shared" si="28"/>
        <v>#DIV/0!</v>
      </c>
      <c r="N296" s="3">
        <f t="shared" si="29"/>
        <v>0</v>
      </c>
      <c r="O296" s="2"/>
      <c r="P296" t="e">
        <f t="shared" si="30"/>
        <v>#DIV/0!</v>
      </c>
      <c r="Q296" s="4">
        <f t="shared" si="31"/>
        <v>0</v>
      </c>
    </row>
    <row r="297" spans="6:17" x14ac:dyDescent="0.3">
      <c r="F297" t="e">
        <f t="shared" si="24"/>
        <v>#DIV/0!</v>
      </c>
      <c r="H297" s="3">
        <f t="shared" si="25"/>
        <v>0</v>
      </c>
      <c r="I297" s="2"/>
      <c r="J297" t="e">
        <f t="shared" si="26"/>
        <v>#DIV/0!</v>
      </c>
      <c r="K297" s="3">
        <f t="shared" si="27"/>
        <v>0</v>
      </c>
      <c r="L297" s="2"/>
      <c r="M297" t="e">
        <f t="shared" si="28"/>
        <v>#DIV/0!</v>
      </c>
      <c r="N297" s="3">
        <f t="shared" si="29"/>
        <v>0</v>
      </c>
      <c r="O297" s="2"/>
      <c r="P297" t="e">
        <f t="shared" si="30"/>
        <v>#DIV/0!</v>
      </c>
      <c r="Q297" s="4">
        <f t="shared" si="31"/>
        <v>0</v>
      </c>
    </row>
    <row r="298" spans="6:17" x14ac:dyDescent="0.3">
      <c r="F298" t="e">
        <f t="shared" si="24"/>
        <v>#DIV/0!</v>
      </c>
      <c r="H298" s="3">
        <f t="shared" si="25"/>
        <v>0</v>
      </c>
      <c r="I298" s="2"/>
      <c r="J298" t="e">
        <f t="shared" si="26"/>
        <v>#DIV/0!</v>
      </c>
      <c r="K298" s="3">
        <f t="shared" si="27"/>
        <v>0</v>
      </c>
      <c r="L298" s="2"/>
      <c r="M298" t="e">
        <f t="shared" si="28"/>
        <v>#DIV/0!</v>
      </c>
      <c r="N298" s="3">
        <f t="shared" si="29"/>
        <v>0</v>
      </c>
      <c r="O298" s="2"/>
      <c r="P298" t="e">
        <f t="shared" si="30"/>
        <v>#DIV/0!</v>
      </c>
      <c r="Q298" s="4">
        <f t="shared" si="31"/>
        <v>0</v>
      </c>
    </row>
    <row r="299" spans="6:17" x14ac:dyDescent="0.3">
      <c r="F299" t="e">
        <f t="shared" si="24"/>
        <v>#DIV/0!</v>
      </c>
      <c r="H299" s="3">
        <f t="shared" si="25"/>
        <v>0</v>
      </c>
      <c r="I299" s="2"/>
      <c r="J299" t="e">
        <f t="shared" si="26"/>
        <v>#DIV/0!</v>
      </c>
      <c r="K299" s="3">
        <f t="shared" si="27"/>
        <v>0</v>
      </c>
      <c r="L299" s="2"/>
      <c r="M299" t="e">
        <f t="shared" si="28"/>
        <v>#DIV/0!</v>
      </c>
      <c r="N299" s="3">
        <f t="shared" si="29"/>
        <v>0</v>
      </c>
      <c r="O299" s="2"/>
      <c r="P299" t="e">
        <f t="shared" si="30"/>
        <v>#DIV/0!</v>
      </c>
      <c r="Q299" s="4">
        <f t="shared" si="31"/>
        <v>0</v>
      </c>
    </row>
    <row r="300" spans="6:17" x14ac:dyDescent="0.3">
      <c r="F300" t="e">
        <f t="shared" si="24"/>
        <v>#DIV/0!</v>
      </c>
      <c r="H300" s="3">
        <f t="shared" si="25"/>
        <v>0</v>
      </c>
      <c r="I300" s="2"/>
      <c r="J300" t="e">
        <f t="shared" si="26"/>
        <v>#DIV/0!</v>
      </c>
      <c r="K300" s="3">
        <f t="shared" si="27"/>
        <v>0</v>
      </c>
      <c r="L300" s="2"/>
      <c r="M300" t="e">
        <f t="shared" si="28"/>
        <v>#DIV/0!</v>
      </c>
      <c r="N300" s="3">
        <f t="shared" si="29"/>
        <v>0</v>
      </c>
      <c r="O300" s="2"/>
      <c r="P300" t="e">
        <f t="shared" si="30"/>
        <v>#DIV/0!</v>
      </c>
      <c r="Q300" s="4">
        <f t="shared" si="31"/>
        <v>0</v>
      </c>
    </row>
    <row r="301" spans="6:17" x14ac:dyDescent="0.3">
      <c r="F301" t="e">
        <f t="shared" si="24"/>
        <v>#DIV/0!</v>
      </c>
      <c r="H301" s="3">
        <f t="shared" si="25"/>
        <v>0</v>
      </c>
      <c r="I301" s="2"/>
      <c r="J301" t="e">
        <f t="shared" si="26"/>
        <v>#DIV/0!</v>
      </c>
      <c r="K301" s="3">
        <f t="shared" si="27"/>
        <v>0</v>
      </c>
      <c r="L301" s="2"/>
      <c r="M301" t="e">
        <f t="shared" si="28"/>
        <v>#DIV/0!</v>
      </c>
      <c r="N301" s="3">
        <f t="shared" si="29"/>
        <v>0</v>
      </c>
      <c r="O301" s="2"/>
      <c r="P301" t="e">
        <f t="shared" si="30"/>
        <v>#DIV/0!</v>
      </c>
      <c r="Q301" s="4">
        <f t="shared" si="31"/>
        <v>0</v>
      </c>
    </row>
    <row r="302" spans="6:17" x14ac:dyDescent="0.3">
      <c r="F302" t="e">
        <f t="shared" si="24"/>
        <v>#DIV/0!</v>
      </c>
      <c r="H302" s="3">
        <f t="shared" si="25"/>
        <v>0</v>
      </c>
      <c r="I302" s="2"/>
      <c r="J302" t="e">
        <f t="shared" si="26"/>
        <v>#DIV/0!</v>
      </c>
      <c r="K302" s="3">
        <f t="shared" si="27"/>
        <v>0</v>
      </c>
      <c r="L302" s="2"/>
      <c r="M302" t="e">
        <f t="shared" si="28"/>
        <v>#DIV/0!</v>
      </c>
      <c r="N302" s="3">
        <f t="shared" si="29"/>
        <v>0</v>
      </c>
      <c r="O302" s="2"/>
      <c r="P302" t="e">
        <f t="shared" si="30"/>
        <v>#DIV/0!</v>
      </c>
      <c r="Q302" s="4">
        <f t="shared" si="31"/>
        <v>0</v>
      </c>
    </row>
    <row r="303" spans="6:17" x14ac:dyDescent="0.3">
      <c r="F303" t="e">
        <f t="shared" si="24"/>
        <v>#DIV/0!</v>
      </c>
      <c r="H303" s="3">
        <f t="shared" si="25"/>
        <v>0</v>
      </c>
      <c r="I303" s="2"/>
      <c r="J303" t="e">
        <f t="shared" si="26"/>
        <v>#DIV/0!</v>
      </c>
      <c r="K303" s="3">
        <f t="shared" si="27"/>
        <v>0</v>
      </c>
      <c r="L303" s="2"/>
      <c r="M303" t="e">
        <f t="shared" si="28"/>
        <v>#DIV/0!</v>
      </c>
      <c r="N303" s="3">
        <f t="shared" si="29"/>
        <v>0</v>
      </c>
      <c r="O303" s="2"/>
      <c r="P303" t="e">
        <f t="shared" si="30"/>
        <v>#DIV/0!</v>
      </c>
      <c r="Q303" s="4">
        <f t="shared" si="31"/>
        <v>0</v>
      </c>
    </row>
    <row r="304" spans="6:17" x14ac:dyDescent="0.3">
      <c r="F304" t="e">
        <f t="shared" si="24"/>
        <v>#DIV/0!</v>
      </c>
      <c r="H304" s="3">
        <f t="shared" si="25"/>
        <v>0</v>
      </c>
      <c r="I304" s="2"/>
      <c r="J304" t="e">
        <f t="shared" si="26"/>
        <v>#DIV/0!</v>
      </c>
      <c r="K304" s="3">
        <f t="shared" si="27"/>
        <v>0</v>
      </c>
      <c r="L304" s="2"/>
      <c r="M304" t="e">
        <f t="shared" si="28"/>
        <v>#DIV/0!</v>
      </c>
      <c r="N304" s="3">
        <f t="shared" si="29"/>
        <v>0</v>
      </c>
      <c r="O304" s="2"/>
      <c r="P304" t="e">
        <f t="shared" si="30"/>
        <v>#DIV/0!</v>
      </c>
      <c r="Q304" s="4">
        <f t="shared" si="31"/>
        <v>0</v>
      </c>
    </row>
    <row r="305" spans="6:17" x14ac:dyDescent="0.3">
      <c r="F305" t="e">
        <f t="shared" si="24"/>
        <v>#DIV/0!</v>
      </c>
      <c r="H305" s="3">
        <f t="shared" si="25"/>
        <v>0</v>
      </c>
      <c r="I305" s="2"/>
      <c r="J305" t="e">
        <f t="shared" si="26"/>
        <v>#DIV/0!</v>
      </c>
      <c r="K305" s="3">
        <f t="shared" si="27"/>
        <v>0</v>
      </c>
      <c r="L305" s="2"/>
      <c r="M305" t="e">
        <f t="shared" si="28"/>
        <v>#DIV/0!</v>
      </c>
      <c r="N305" s="3">
        <f t="shared" si="29"/>
        <v>0</v>
      </c>
      <c r="O305" s="2"/>
      <c r="P305" t="e">
        <f t="shared" si="30"/>
        <v>#DIV/0!</v>
      </c>
      <c r="Q305" s="4">
        <f t="shared" si="31"/>
        <v>0</v>
      </c>
    </row>
    <row r="306" spans="6:17" x14ac:dyDescent="0.3">
      <c r="F306" t="e">
        <f t="shared" si="24"/>
        <v>#DIV/0!</v>
      </c>
      <c r="H306" s="3">
        <f t="shared" si="25"/>
        <v>0</v>
      </c>
      <c r="I306" s="2"/>
      <c r="J306" t="e">
        <f t="shared" si="26"/>
        <v>#DIV/0!</v>
      </c>
      <c r="K306" s="3">
        <f t="shared" si="27"/>
        <v>0</v>
      </c>
      <c r="L306" s="2"/>
      <c r="M306" t="e">
        <f t="shared" si="28"/>
        <v>#DIV/0!</v>
      </c>
      <c r="N306" s="3">
        <f t="shared" si="29"/>
        <v>0</v>
      </c>
      <c r="O306" s="2"/>
      <c r="P306" t="e">
        <f t="shared" si="30"/>
        <v>#DIV/0!</v>
      </c>
      <c r="Q306" s="4">
        <f t="shared" si="31"/>
        <v>0</v>
      </c>
    </row>
    <row r="307" spans="6:17" x14ac:dyDescent="0.3">
      <c r="F307" t="e">
        <f t="shared" si="24"/>
        <v>#DIV/0!</v>
      </c>
      <c r="H307" s="3">
        <f t="shared" si="25"/>
        <v>0</v>
      </c>
      <c r="I307" s="2"/>
      <c r="J307" t="e">
        <f t="shared" si="26"/>
        <v>#DIV/0!</v>
      </c>
      <c r="K307" s="3">
        <f t="shared" si="27"/>
        <v>0</v>
      </c>
      <c r="L307" s="2"/>
      <c r="M307" t="e">
        <f t="shared" si="28"/>
        <v>#DIV/0!</v>
      </c>
      <c r="N307" s="3">
        <f t="shared" si="29"/>
        <v>0</v>
      </c>
      <c r="O307" s="2"/>
      <c r="P307" t="e">
        <f t="shared" si="30"/>
        <v>#DIV/0!</v>
      </c>
      <c r="Q307" s="4">
        <f t="shared" si="31"/>
        <v>0</v>
      </c>
    </row>
    <row r="308" spans="6:17" x14ac:dyDescent="0.3">
      <c r="F308" t="e">
        <f t="shared" si="24"/>
        <v>#DIV/0!</v>
      </c>
      <c r="H308" s="3">
        <f t="shared" si="25"/>
        <v>0</v>
      </c>
      <c r="I308" s="2"/>
      <c r="J308" t="e">
        <f t="shared" si="26"/>
        <v>#DIV/0!</v>
      </c>
      <c r="K308" s="3">
        <f t="shared" si="27"/>
        <v>0</v>
      </c>
      <c r="L308" s="2"/>
      <c r="M308" t="e">
        <f t="shared" si="28"/>
        <v>#DIV/0!</v>
      </c>
      <c r="N308" s="3">
        <f t="shared" si="29"/>
        <v>0</v>
      </c>
      <c r="O308" s="2"/>
      <c r="P308" t="e">
        <f t="shared" si="30"/>
        <v>#DIV/0!</v>
      </c>
      <c r="Q308" s="4">
        <f t="shared" si="31"/>
        <v>0</v>
      </c>
    </row>
    <row r="309" spans="6:17" x14ac:dyDescent="0.3">
      <c r="F309" t="e">
        <f t="shared" si="24"/>
        <v>#DIV/0!</v>
      </c>
      <c r="H309" s="3">
        <f t="shared" si="25"/>
        <v>0</v>
      </c>
      <c r="I309" s="2"/>
      <c r="J309" t="e">
        <f t="shared" si="26"/>
        <v>#DIV/0!</v>
      </c>
      <c r="K309" s="3">
        <f t="shared" si="27"/>
        <v>0</v>
      </c>
      <c r="L309" s="2"/>
      <c r="M309" t="e">
        <f t="shared" si="28"/>
        <v>#DIV/0!</v>
      </c>
      <c r="N309" s="3">
        <f t="shared" si="29"/>
        <v>0</v>
      </c>
      <c r="O309" s="2"/>
      <c r="P309" t="e">
        <f t="shared" si="30"/>
        <v>#DIV/0!</v>
      </c>
      <c r="Q309" s="4">
        <f t="shared" si="31"/>
        <v>0</v>
      </c>
    </row>
    <row r="310" spans="6:17" x14ac:dyDescent="0.3">
      <c r="F310" t="e">
        <f t="shared" si="24"/>
        <v>#DIV/0!</v>
      </c>
      <c r="H310" s="3">
        <f t="shared" si="25"/>
        <v>0</v>
      </c>
      <c r="I310" s="2"/>
      <c r="J310" t="e">
        <f t="shared" si="26"/>
        <v>#DIV/0!</v>
      </c>
      <c r="K310" s="3">
        <f t="shared" si="27"/>
        <v>0</v>
      </c>
      <c r="L310" s="2"/>
      <c r="M310" t="e">
        <f t="shared" si="28"/>
        <v>#DIV/0!</v>
      </c>
      <c r="N310" s="3">
        <f t="shared" si="29"/>
        <v>0</v>
      </c>
      <c r="O310" s="2"/>
      <c r="P310" t="e">
        <f t="shared" si="30"/>
        <v>#DIV/0!</v>
      </c>
      <c r="Q310" s="4">
        <f t="shared" si="31"/>
        <v>0</v>
      </c>
    </row>
    <row r="311" spans="6:17" x14ac:dyDescent="0.3">
      <c r="F311" t="e">
        <f t="shared" si="24"/>
        <v>#DIV/0!</v>
      </c>
      <c r="H311" s="3">
        <f t="shared" si="25"/>
        <v>0</v>
      </c>
      <c r="I311" s="2"/>
      <c r="J311" t="e">
        <f t="shared" si="26"/>
        <v>#DIV/0!</v>
      </c>
      <c r="K311" s="3">
        <f t="shared" si="27"/>
        <v>0</v>
      </c>
      <c r="L311" s="2"/>
      <c r="M311" t="e">
        <f t="shared" si="28"/>
        <v>#DIV/0!</v>
      </c>
      <c r="N311" s="3">
        <f t="shared" si="29"/>
        <v>0</v>
      </c>
      <c r="O311" s="2"/>
      <c r="P311" t="e">
        <f t="shared" si="30"/>
        <v>#DIV/0!</v>
      </c>
      <c r="Q311" s="4">
        <f t="shared" si="31"/>
        <v>0</v>
      </c>
    </row>
    <row r="312" spans="6:17" x14ac:dyDescent="0.3">
      <c r="H312" s="3"/>
      <c r="I312" s="2"/>
      <c r="K312" s="3"/>
      <c r="L312" s="2"/>
      <c r="N312" s="3"/>
      <c r="O312" s="2"/>
      <c r="Q312" s="4"/>
    </row>
    <row r="313" spans="6:17" x14ac:dyDescent="0.3">
      <c r="H313" s="3"/>
      <c r="I313" s="2"/>
      <c r="K313" s="3"/>
      <c r="L313" s="2"/>
      <c r="N313" s="3"/>
      <c r="O313" s="2"/>
      <c r="Q313" s="4"/>
    </row>
    <row r="314" spans="6:17" x14ac:dyDescent="0.3">
      <c r="H314" s="3"/>
      <c r="I314" s="2"/>
      <c r="K314" s="3"/>
      <c r="L314" s="2"/>
      <c r="N314" s="3"/>
      <c r="O314" s="2"/>
      <c r="Q314" s="4"/>
    </row>
    <row r="315" spans="6:17" x14ac:dyDescent="0.3">
      <c r="H315" s="3"/>
      <c r="I315" s="2"/>
      <c r="K315" s="3"/>
      <c r="L315" s="2"/>
      <c r="N315" s="3"/>
      <c r="O315" s="2"/>
      <c r="Q315" s="4"/>
    </row>
    <row r="316" spans="6:17" x14ac:dyDescent="0.3">
      <c r="H316" s="3"/>
      <c r="I316" s="2"/>
      <c r="K316" s="3"/>
      <c r="L316" s="2"/>
      <c r="N316" s="3"/>
      <c r="O316" s="2"/>
      <c r="Q316" s="4"/>
    </row>
    <row r="317" spans="6:17" x14ac:dyDescent="0.3">
      <c r="H317" s="3"/>
      <c r="I317" s="2"/>
      <c r="K317" s="3"/>
      <c r="L317" s="2"/>
      <c r="N317" s="3"/>
      <c r="O317" s="2"/>
      <c r="Q317" s="4"/>
    </row>
  </sheetData>
  <protectedRanges>
    <protectedRange sqref="B20:B22" name="Experiment details"/>
    <protectedRange sqref="F2:H6 J2:K7 M2:N8 P2:Q8" name="Fitting parameters"/>
    <protectedRange sqref="A24:B24 A25:D219 E61:Q84 E104:Q129 E28:Q39 E166:Q219" name="Data entry"/>
    <protectedRange sqref="AD1 AF1 AL1 AO1" name="Dose response fig adjust"/>
  </protectedRanges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 - continous data model (new)</vt:lpstr>
      <vt:lpstr>IA - continous data model (new)</vt:lpstr>
      <vt:lpstr>CA - binary data model (new)</vt:lpstr>
      <vt:lpstr>IA - binary data model (new)</vt:lpstr>
    </vt:vector>
  </TitlesOfParts>
  <Company>CEH Monks Wood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CEH Monks Wood</dc:creator>
  <cp:lastModifiedBy>Loon, S. van (Sam)</cp:lastModifiedBy>
  <dcterms:created xsi:type="dcterms:W3CDTF">2005-10-23T08:43:13Z</dcterms:created>
  <dcterms:modified xsi:type="dcterms:W3CDTF">2024-04-23T12:24:23Z</dcterms:modified>
</cp:coreProperties>
</file>